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V-001 Property Purchase" sheetId="1" state="visible" r:id="rId3"/>
    <sheet name="Strensall Remortgage" sheetId="2" state="visible" r:id="rId4"/>
    <sheet name="Cairnsford Purcha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<sst xmlns="http://schemas.openxmlformats.org/spreadsheetml/2006/main" count="130" uniqueCount="109">
  <si>
    <t xml:space="preserve">Alino Property Ltd</t>
  </si>
  <si>
    <t xml:space="preserve">Journal Voucher</t>
  </si>
  <si>
    <t xml:space="preserve">JV No.</t>
  </si>
  <si>
    <t xml:space="preserve">JV-001</t>
  </si>
  <si>
    <t xml:space="preserve">Date</t>
  </si>
  <si>
    <t xml:space="preserve">17/07/2025</t>
  </si>
  <si>
    <t xml:space="preserve">Narration</t>
  </si>
  <si>
    <t xml:space="preserve">Purchase of 36 Cairnsford Road, Leicester LE2 6GF, funded by a Together Commercial mortgage, the remortgage of 30 Strensall Road, and funds from Alvine Tchega and Kakmeni (per both completion statements).</t>
  </si>
  <si>
    <t xml:space="preserve">Line</t>
  </si>
  <si>
    <t xml:space="preserve">Account</t>
  </si>
  <si>
    <t xml:space="preserve">Description</t>
  </si>
  <si>
    <t xml:space="preserve">Debit (£)</t>
  </si>
  <si>
    <t xml:space="preserve">Credit (£)</t>
  </si>
  <si>
    <t xml:space="preserve">Source</t>
  </si>
  <si>
    <t xml:space="preserve">Investment property – 36 Cairnsford Rd</t>
  </si>
  <si>
    <t xml:space="preserve">Purchase price</t>
  </si>
  <si>
    <t xml:space="preserve">Cairnsford: Purchase Price</t>
  </si>
  <si>
    <t xml:space="preserve">Stamp Duty Land Tax</t>
  </si>
  <si>
    <t xml:space="preserve">Cairnsford: Stamp Duty (SDLT)</t>
  </si>
  <si>
    <t xml:space="preserve">Legal &amp; acquisition fees incl. VAT (12 items)</t>
  </si>
  <si>
    <t xml:space="preserve">Cairnsford: legal, searches, LR, AML, SDLT form, bank fee</t>
  </si>
  <si>
    <t xml:space="preserve">Loan arrangement fees</t>
  </si>
  <si>
    <t xml:space="preserve">Lender-related fees – Cairnsford mortgage, incl. VAT</t>
  </si>
  <si>
    <t xml:space="preserve">Cairnsford: mortgage admin, lender sols, policy, MR01, insolvency indemnity</t>
  </si>
  <si>
    <t xml:space="preserve">Remortgage costs – 30 Strensall Rd, incl. VAT</t>
  </si>
  <si>
    <t xml:space="preserve">Strensall: all 13 fee lines</t>
  </si>
  <si>
    <t xml:space="preserve">Mortgage – Together Commercial (Cairnsford)</t>
  </si>
  <si>
    <t xml:space="preserve">Net mortgage advance – 36 Cairnsford Rd</t>
  </si>
  <si>
    <t xml:space="preserve">Cairnsford: Mortgage advance</t>
  </si>
  <si>
    <t xml:space="preserve">Mortgage – Together Commercial (Strensall)</t>
  </si>
  <si>
    <t xml:space="preserve">Net remortgage advance – 30 Strensall Rd</t>
  </si>
  <si>
    <t xml:space="preserve">Strensall: Mortgage advance</t>
  </si>
  <si>
    <t xml:space="preserve">Director's loan – Alvine Tchega</t>
  </si>
  <si>
    <t xml:space="preserve">Funds introduced 14/07/2025</t>
  </si>
  <si>
    <t xml:space="preserve">Cairnsford: Money from client – Alvine</t>
  </si>
  <si>
    <t xml:space="preserve">Money on account paid to solicitors (£400 + £100)</t>
  </si>
  <si>
    <t xml:space="preserve">Both: Money on account</t>
  </si>
  <si>
    <t xml:space="preserve">Loan – Kakmeni</t>
  </si>
  <si>
    <t xml:space="preserve">Cairnsford: Money from client – Kakmeni</t>
  </si>
  <si>
    <t xml:space="preserve">Totals</t>
  </si>
  <si>
    <t xml:space="preserve">Difference (must be 0)</t>
  </si>
  <si>
    <t xml:space="preserve">Notes</t>
  </si>
  <si>
    <t xml:space="preserve">1. Green figures are formulas linked to the line items on the two statement sheets in this workbook.</t>
  </si>
  <si>
    <t xml:space="preserve">2. The 30 Strensall balance of £131,958.00 was paid out on the Strensall statement and received on the Cairnsford statement. It nets to nil, so it is not posted.</t>
  </si>
  <si>
    <t xml:space="preserve">3. Total cost of 36 Cairnsford Rd = lines 1–3. VAT on fees is included because the company is assumed not to be VAT-registered.</t>
  </si>
  <si>
    <t xml:space="preserve">4. Lender and remortgage fees (lines 4–5) are posted to Loan arrangement fees (P&amp;L finance cost). Under FRS 102 they can instead be netted against the loans and spread over the loan term.</t>
  </si>
  <si>
    <t xml:space="preserve">5. Mortgages are recorded at the net advance shown on the statements. The gross loans per the Together Commercial offers may be higher by the lender's solicitor fees.</t>
  </si>
  <si>
    <t xml:space="preserve">6. Alvine's funds are treated as the director's loan account and Kakmeni's £38,000 as a loan. Change these if they were share capital or another arrangement.</t>
  </si>
  <si>
    <t xml:space="preserve">Prepared by:</t>
  </si>
  <si>
    <t xml:space="preserve">Reviewed by:</t>
  </si>
  <si>
    <t xml:space="preserve">Posted (date):</t>
  </si>
  <si>
    <t xml:space="preserve">Completion Statement</t>
  </si>
  <si>
    <t xml:space="preserve">Completion (17/07/2025)</t>
  </si>
  <si>
    <t xml:space="preserve">Alvine Nadege Kouaya Tchega (1093081)</t>
  </si>
  <si>
    <t xml:space="preserve">Remortgage of 30 Strensall Road, Leicester, LE2 9FT</t>
  </si>
  <si>
    <t xml:space="preserve">Item</t>
  </si>
  <si>
    <t xml:space="preserve">Paid In (£)</t>
  </si>
  <si>
    <t xml:space="preserve">Paid Out (£)</t>
  </si>
  <si>
    <t xml:space="preserve">VAT (£)</t>
  </si>
  <si>
    <t xml:space="preserve">Paid Out incl. VAT (£)</t>
  </si>
  <si>
    <t xml:space="preserve">Mortgage advance minus 3rd party solicitors fee</t>
  </si>
  <si>
    <t xml:space="preserve">Money on account 8.4.2025</t>
  </si>
  <si>
    <t xml:space="preserve">Legal Fees</t>
  </si>
  <si>
    <t xml:space="preserve">File Setup Fee</t>
  </si>
  <si>
    <t xml:space="preserve">Mortgage Fee</t>
  </si>
  <si>
    <t xml:space="preserve">Third party sols fee for dealing</t>
  </si>
  <si>
    <t xml:space="preserve">No Searches Indemnity Insurance Policy</t>
  </si>
  <si>
    <t xml:space="preserve">Land Charges Search (£6 per person) x 3</t>
  </si>
  <si>
    <t xml:space="preserve">Bank Transfer Fee</t>
  </si>
  <si>
    <t xml:space="preserve">Land Registry Documents</t>
  </si>
  <si>
    <t xml:space="preserve">Land Registry Search – OS1</t>
  </si>
  <si>
    <t xml:space="preserve">Land Registry Fees</t>
  </si>
  <si>
    <t xml:space="preserve">MR01 Companies House registration of charge</t>
  </si>
  <si>
    <t xml:space="preserve">Company winding up search</t>
  </si>
  <si>
    <t xml:space="preserve">Company search – Global</t>
  </si>
  <si>
    <t xml:space="preserve">Total</t>
  </si>
  <si>
    <t xml:space="preserve">Balance due to you on completion</t>
  </si>
  <si>
    <t xml:space="preserve">Check against PDF statement</t>
  </si>
  <si>
    <t xml:space="preserve">Total paid in per statement</t>
  </si>
  <si>
    <t xml:space="preserve">Total paid out per statement (incl. VAT)</t>
  </si>
  <si>
    <t xml:space="preserve">Balance due per statement</t>
  </si>
  <si>
    <t xml:space="preserve">The £131,958.00 balance was paid into the 36 Cairnsford Road purchase (see 'Cairnsford Purchase' sheet: 'Proceeds from 30 Strensall').</t>
  </si>
  <si>
    <t xml:space="preserve">Blue = typed from the PDF statement; black = formulas.</t>
  </si>
  <si>
    <t xml:space="preserve">Completion Statement – DWS Legal</t>
  </si>
  <si>
    <t xml:space="preserve">Exchange (17/07/2025)  Completion (17/07/2025)</t>
  </si>
  <si>
    <t xml:space="preserve">Alino Property Limited</t>
  </si>
  <si>
    <t xml:space="preserve">Purchase of 36 Cairnsford Road, Leicester, LE2 6GF</t>
  </si>
  <si>
    <t xml:space="preserve">Mortgage provided by: Together Commercial Finance Limited c/o Priority Law Solicitors</t>
  </si>
  <si>
    <t xml:space="preserve">Purchase Price</t>
  </si>
  <si>
    <t xml:space="preserve">Money on Account</t>
  </si>
  <si>
    <t xml:space="preserve">Mortgage advance from lender's solicitors (net of their fees)</t>
  </si>
  <si>
    <t xml:space="preserve">Proceeds from 30 Strensall</t>
  </si>
  <si>
    <t xml:space="preserve">Money from client – Alvine 14.7.25</t>
  </si>
  <si>
    <t xml:space="preserve">Money from client – Kakmeni 14.7.25</t>
  </si>
  <si>
    <t xml:space="preserve">Mortgage Admin Fee</t>
  </si>
  <si>
    <t xml:space="preserve">Stamp Duty Land Tax Form Fee</t>
  </si>
  <si>
    <t xml:space="preserve">Anti-Money Laundering Check Fee (£30 pp)</t>
  </si>
  <si>
    <t xml:space="preserve">Third party lender solicitors fee</t>
  </si>
  <si>
    <t xml:space="preserve">Policy arrangement fee</t>
  </si>
  <si>
    <t xml:space="preserve">Land Registry Search</t>
  </si>
  <si>
    <t xml:space="preserve">Land Charges Search (£6 pp)</t>
  </si>
  <si>
    <t xml:space="preserve">Searches Pack</t>
  </si>
  <si>
    <t xml:space="preserve">Stamp Duty (SDLT)</t>
  </si>
  <si>
    <t xml:space="preserve">Search perusal Fee</t>
  </si>
  <si>
    <t xml:space="preserve">Company search fee</t>
  </si>
  <si>
    <t xml:space="preserve">MR01</t>
  </si>
  <si>
    <t xml:space="preserve">Winding up Search Fee</t>
  </si>
  <si>
    <t xml:space="preserve">Insolvency indemnity policy required by lender</t>
  </si>
  <si>
    <t xml:space="preserve">'Proceeds from 30 Strensall' £131,958.00 = balance due on the Strensall remortgage statement.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</si>
</sst>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.00;&quot;-£&quot;#,##0.0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  <border diagonalUp="false" diagonalDown="false">
      <left/>
      <right/>
      <top style="thin">
        <color rgb="FF999999"/>
      </top>
      <bottom style="double"/>
      <diagonal/>
    </border>
    <border diagonalUp="false" diagonalDown="false">
      <left/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48"/>
    <col collapsed="false" customWidth="true" hidden="false" outlineLevel="0" max="5" min="4" style="0" width="16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30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8" customFormat="false" ht="15" hidden="false" customHeight="false" outlineLevel="0" collapsed="false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</row>
    <row r="9" customFormat="false" ht="15" hidden="false" customHeight="false" outlineLevel="0" collapsed="false">
      <c r="A9" s="6" t="n">
        <v>1</v>
      </c>
      <c r="B9" s="6" t="s">
        <v>14</v>
      </c>
      <c r="C9" s="6" t="s">
        <v>15</v>
      </c>
      <c r="D9" s="7" t="n">
        <f aca="false">'Cairnsford Purchase'!E8</f>
        <v>462000</v>
      </c>
      <c r="E9" s="8"/>
      <c r="F9" s="6" t="s">
        <v>16</v>
      </c>
    </row>
    <row r="10" customFormat="false" ht="15" hidden="false" customHeight="false" outlineLevel="0" collapsed="false">
      <c r="A10" s="6" t="n">
        <v>2</v>
      </c>
      <c r="B10" s="6" t="s">
        <v>14</v>
      </c>
      <c r="C10" s="6" t="s">
        <v>17</v>
      </c>
      <c r="D10" s="7" t="n">
        <f aca="false">'Cairnsford Purchase'!E26</f>
        <v>36200</v>
      </c>
      <c r="E10" s="8"/>
      <c r="F10" s="6" t="s">
        <v>18</v>
      </c>
    </row>
    <row r="11" customFormat="false" ht="15" hidden="false" customHeight="false" outlineLevel="0" collapsed="false">
      <c r="A11" s="6" t="n">
        <v>3</v>
      </c>
      <c r="B11" s="6" t="s">
        <v>14</v>
      </c>
      <c r="C11" s="6" t="s">
        <v>19</v>
      </c>
      <c r="D11" s="7" t="n">
        <f aca="false">'Cairnsford Purchase'!E14+'Cairnsford Purchase'!E16+'Cairnsford Purchase'!E17+'Cairnsford Purchase'!E18+'Cairnsford Purchase'!E21+'Cairnsford Purchase'!E22+'Cairnsford Purchase'!E23+'Cairnsford Purchase'!E24+'Cairnsford Purchase'!E25+'Cairnsford Purchase'!E27+'Cairnsford Purchase'!E28+'Cairnsford Purchase'!E30</f>
        <v>1743.94</v>
      </c>
      <c r="E11" s="8"/>
      <c r="F11" s="6" t="s">
        <v>20</v>
      </c>
    </row>
    <row r="12" customFormat="false" ht="15" hidden="false" customHeight="false" outlineLevel="0" collapsed="false">
      <c r="A12" s="6" t="n">
        <v>4</v>
      </c>
      <c r="B12" s="6" t="s">
        <v>21</v>
      </c>
      <c r="C12" s="6" t="s">
        <v>22</v>
      </c>
      <c r="D12" s="7" t="n">
        <f aca="false">'Cairnsford Purchase'!E15+'Cairnsford Purchase'!E19+'Cairnsford Purchase'!E20+'Cairnsford Purchase'!E29+'Cairnsford Purchase'!E31</f>
        <v>715</v>
      </c>
      <c r="E12" s="8"/>
      <c r="F12" s="6" t="s">
        <v>23</v>
      </c>
    </row>
    <row r="13" customFormat="false" ht="15" hidden="false" customHeight="false" outlineLevel="0" collapsed="false">
      <c r="A13" s="6" t="n">
        <v>5</v>
      </c>
      <c r="B13" s="6" t="s">
        <v>21</v>
      </c>
      <c r="C13" s="6" t="s">
        <v>24</v>
      </c>
      <c r="D13" s="7" t="n">
        <f aca="false">'Strensall Remortgage'!E10+'Strensall Remortgage'!E11+'Strensall Remortgage'!E12+'Strensall Remortgage'!E13+'Strensall Remortgage'!E14+'Strensall Remortgage'!E15+'Strensall Remortgage'!E16+'Strensall Remortgage'!E17+'Strensall Remortgage'!E18+'Strensall Remortgage'!E19+'Strensall Remortgage'!E20+'Strensall Remortgage'!E21+'Strensall Remortgage'!E22</f>
        <v>1670</v>
      </c>
      <c r="E13" s="8"/>
      <c r="F13" s="6" t="s">
        <v>25</v>
      </c>
    </row>
    <row r="14" customFormat="false" ht="15" hidden="false" customHeight="false" outlineLevel="0" collapsed="false">
      <c r="A14" s="6" t="n">
        <v>6</v>
      </c>
      <c r="B14" s="6" t="s">
        <v>26</v>
      </c>
      <c r="C14" s="6" t="s">
        <v>27</v>
      </c>
      <c r="D14" s="8"/>
      <c r="E14" s="7" t="n">
        <f aca="false">'Cairnsford Purchase'!B10</f>
        <v>311938.6</v>
      </c>
      <c r="F14" s="6" t="s">
        <v>28</v>
      </c>
    </row>
    <row r="15" customFormat="false" ht="15" hidden="false" customHeight="false" outlineLevel="0" collapsed="false">
      <c r="A15" s="6" t="n">
        <v>7</v>
      </c>
      <c r="B15" s="6" t="s">
        <v>29</v>
      </c>
      <c r="C15" s="6" t="s">
        <v>30</v>
      </c>
      <c r="D15" s="8"/>
      <c r="E15" s="7" t="n">
        <f aca="false">'Strensall Remortgage'!B8</f>
        <v>133528</v>
      </c>
      <c r="F15" s="6" t="s">
        <v>31</v>
      </c>
    </row>
    <row r="16" customFormat="false" ht="15" hidden="false" customHeight="false" outlineLevel="0" collapsed="false">
      <c r="A16" s="6" t="n">
        <v>8</v>
      </c>
      <c r="B16" s="6" t="s">
        <v>32</v>
      </c>
      <c r="C16" s="6" t="s">
        <v>33</v>
      </c>
      <c r="D16" s="8"/>
      <c r="E16" s="7" t="n">
        <f aca="false">'Cairnsford Purchase'!B12</f>
        <v>18362.34</v>
      </c>
      <c r="F16" s="6" t="s">
        <v>34</v>
      </c>
    </row>
    <row r="17" customFormat="false" ht="15" hidden="false" customHeight="false" outlineLevel="0" collapsed="false">
      <c r="A17" s="6" t="n">
        <v>9</v>
      </c>
      <c r="B17" s="6" t="s">
        <v>32</v>
      </c>
      <c r="C17" s="6" t="s">
        <v>35</v>
      </c>
      <c r="D17" s="8"/>
      <c r="E17" s="7" t="n">
        <f aca="false">'Cairnsford Purchase'!B9+'Strensall Remortgage'!B9</f>
        <v>500</v>
      </c>
      <c r="F17" s="6" t="s">
        <v>36</v>
      </c>
    </row>
    <row r="18" customFormat="false" ht="15" hidden="false" customHeight="false" outlineLevel="0" collapsed="false">
      <c r="A18" s="6" t="n">
        <v>10</v>
      </c>
      <c r="B18" s="6" t="s">
        <v>37</v>
      </c>
      <c r="C18" s="6" t="s">
        <v>33</v>
      </c>
      <c r="D18" s="8"/>
      <c r="E18" s="7" t="n">
        <f aca="false">'Cairnsford Purchase'!B13</f>
        <v>38000</v>
      </c>
      <c r="F18" s="6" t="s">
        <v>38</v>
      </c>
    </row>
    <row r="19" customFormat="false" ht="15" hidden="false" customHeight="false" outlineLevel="0" collapsed="false">
      <c r="C19" s="3" t="s">
        <v>39</v>
      </c>
      <c r="D19" s="9" t="n">
        <f aca="false">SUM(D9:D18)</f>
        <v>502328.94</v>
      </c>
      <c r="E19" s="9" t="n">
        <f aca="false">SUM(E9:E18)</f>
        <v>502328.94</v>
      </c>
    </row>
    <row r="20" customFormat="false" ht="15" hidden="false" customHeight="false" outlineLevel="0" collapsed="false">
      <c r="C20" s="3" t="s">
        <v>40</v>
      </c>
      <c r="D20" s="10" t="n">
        <f aca="false">ROUND(D19-E19,2)</f>
        <v>0</v>
      </c>
      <c r="E20" s="3" t="str">
        <f aca="false">IF(D20=0,"Balanced","NOT BALANCED")</f>
        <v>Balanced</v>
      </c>
    </row>
    <row r="22" customFormat="false" ht="15" hidden="false" customHeight="false" outlineLevel="0" collapsed="false">
      <c r="A22" s="3" t="s">
        <v>41</v>
      </c>
    </row>
    <row r="23" customFormat="false" ht="27.75" hidden="false" customHeight="true" outlineLevel="0" collapsed="false">
      <c r="A23" s="11" t="s">
        <v>42</v>
      </c>
      <c r="B23" s="11"/>
      <c r="C23" s="11"/>
      <c r="D23" s="11"/>
      <c r="E23" s="11"/>
      <c r="F23" s="11"/>
    </row>
    <row r="24" customFormat="false" ht="27.75" hidden="false" customHeight="true" outlineLevel="0" collapsed="false">
      <c r="A24" s="11" t="s">
        <v>43</v>
      </c>
      <c r="B24" s="11"/>
      <c r="C24" s="11"/>
      <c r="D24" s="11"/>
      <c r="E24" s="11"/>
      <c r="F24" s="11"/>
    </row>
    <row r="25" customFormat="false" ht="27.75" hidden="false" customHeight="true" outlineLevel="0" collapsed="false">
      <c r="A25" s="11" t="s">
        <v>44</v>
      </c>
      <c r="B25" s="11"/>
      <c r="C25" s="11"/>
      <c r="D25" s="11"/>
      <c r="E25" s="11"/>
      <c r="F25" s="11"/>
    </row>
    <row r="26" customFormat="false" ht="27.75" hidden="false" customHeight="true" outlineLevel="0" collapsed="false">
      <c r="A26" s="11" t="s">
        <v>45</v>
      </c>
      <c r="B26" s="11"/>
      <c r="C26" s="11"/>
      <c r="D26" s="11"/>
      <c r="E26" s="11"/>
      <c r="F26" s="11"/>
    </row>
    <row r="27" customFormat="false" ht="27.75" hidden="false" customHeight="true" outlineLevel="0" collapsed="false">
      <c r="A27" s="11" t="s">
        <v>46</v>
      </c>
      <c r="B27" s="11"/>
      <c r="C27" s="11"/>
      <c r="D27" s="11"/>
      <c r="E27" s="11"/>
      <c r="F27" s="11"/>
    </row>
    <row r="28" customFormat="false" ht="27.75" hidden="false" customHeight="true" outlineLevel="0" collapsed="false">
      <c r="A28" s="11" t="s">
        <v>47</v>
      </c>
      <c r="B28" s="11"/>
      <c r="C28" s="11"/>
      <c r="D28" s="11"/>
      <c r="E28" s="11"/>
      <c r="F28" s="11"/>
    </row>
    <row r="30" customFormat="false" ht="15" hidden="false" customHeight="false" outlineLevel="0" collapsed="false">
      <c r="A30" s="3" t="s">
        <v>48</v>
      </c>
      <c r="B30" s="12"/>
    </row>
    <row r="31" customFormat="false" ht="15" hidden="false" customHeight="false" outlineLevel="0" collapsed="false">
      <c r="A31" s="3" t="s">
        <v>49</v>
      </c>
      <c r="B31" s="12"/>
    </row>
    <row r="32" customFormat="false" ht="15" hidden="false" customHeight="false" outlineLevel="0" collapsed="false">
      <c r="A32" s="3" t="s">
        <v>50</v>
      </c>
      <c r="B32" s="12"/>
    </row>
  </sheetData>
  <mergeCells count="9">
    <mergeCell ref="B4:F4"/>
    <mergeCell ref="B5:F5"/>
    <mergeCell ref="B6:F6"/>
    <mergeCell ref="A23:F23"/>
    <mergeCell ref="A24:F24"/>
    <mergeCell ref="A25:F25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3" t="s">
        <v>52</v>
      </c>
    </row>
    <row r="3" customFormat="false" ht="15" hidden="false" customHeight="false" outlineLevel="0" collapsed="false">
      <c r="A3" s="3" t="s">
        <v>53</v>
      </c>
    </row>
    <row r="4" customFormat="false" ht="15" hidden="false" customHeight="false" outlineLevel="0" collapsed="false">
      <c r="A4" s="3" t="s">
        <v>54</v>
      </c>
    </row>
    <row r="5" customFormat="false" ht="15" hidden="false" customHeight="false" outlineLevel="0" collapsed="false">
      <c r="A5" s="3"/>
    </row>
    <row r="7" customFormat="false" ht="30" hidden="false" customHeight="true" outlineLevel="0" collapsed="false">
      <c r="A7" s="13" t="s">
        <v>55</v>
      </c>
      <c r="B7" s="13" t="s">
        <v>56</v>
      </c>
      <c r="C7" s="13" t="s">
        <v>57</v>
      </c>
      <c r="D7" s="13" t="s">
        <v>58</v>
      </c>
      <c r="E7" s="13" t="s">
        <v>59</v>
      </c>
    </row>
    <row r="8" customFormat="false" ht="15" hidden="false" customHeight="false" outlineLevel="0" collapsed="false">
      <c r="A8" s="6" t="s">
        <v>60</v>
      </c>
      <c r="B8" s="14" t="n">
        <v>133528</v>
      </c>
      <c r="C8" s="14"/>
      <c r="D8" s="14"/>
      <c r="E8" s="8"/>
    </row>
    <row r="9" customFormat="false" ht="15" hidden="false" customHeight="false" outlineLevel="0" collapsed="false">
      <c r="A9" s="6" t="s">
        <v>61</v>
      </c>
      <c r="B9" s="14" t="n">
        <v>100</v>
      </c>
      <c r="C9" s="14"/>
      <c r="D9" s="14"/>
      <c r="E9" s="8"/>
    </row>
    <row r="10" customFormat="false" ht="15" hidden="false" customHeight="false" outlineLevel="0" collapsed="false">
      <c r="A10" s="6" t="s">
        <v>62</v>
      </c>
      <c r="B10" s="14"/>
      <c r="C10" s="14" t="n">
        <v>650</v>
      </c>
      <c r="D10" s="14" t="n">
        <v>130</v>
      </c>
      <c r="E10" s="8" t="n">
        <f aca="false">C10+D10</f>
        <v>780</v>
      </c>
    </row>
    <row r="11" customFormat="false" ht="15" hidden="false" customHeight="false" outlineLevel="0" collapsed="false">
      <c r="A11" s="6" t="s">
        <v>63</v>
      </c>
      <c r="B11" s="14"/>
      <c r="C11" s="14" t="n">
        <v>35</v>
      </c>
      <c r="D11" s="14" t="n">
        <v>7</v>
      </c>
      <c r="E11" s="8" t="n">
        <f aca="false">C11+D11</f>
        <v>42</v>
      </c>
    </row>
    <row r="12" customFormat="false" ht="15" hidden="false" customHeight="false" outlineLevel="0" collapsed="false">
      <c r="A12" s="6" t="s">
        <v>64</v>
      </c>
      <c r="B12" s="14"/>
      <c r="C12" s="14" t="n">
        <v>200</v>
      </c>
      <c r="D12" s="14" t="n">
        <v>40</v>
      </c>
      <c r="E12" s="8" t="n">
        <f aca="false">C12+D12</f>
        <v>240</v>
      </c>
    </row>
    <row r="13" customFormat="false" ht="15" hidden="false" customHeight="false" outlineLevel="0" collapsed="false">
      <c r="A13" s="6" t="s">
        <v>65</v>
      </c>
      <c r="B13" s="14"/>
      <c r="C13" s="14" t="n">
        <v>300</v>
      </c>
      <c r="D13" s="14" t="n">
        <v>60</v>
      </c>
      <c r="E13" s="8" t="n">
        <f aca="false">C13+D13</f>
        <v>360</v>
      </c>
    </row>
    <row r="14" customFormat="false" ht="15" hidden="false" customHeight="false" outlineLevel="0" collapsed="false">
      <c r="A14" s="6" t="s">
        <v>66</v>
      </c>
      <c r="B14" s="14"/>
      <c r="C14" s="14" t="n">
        <v>29</v>
      </c>
      <c r="D14" s="14"/>
      <c r="E14" s="8" t="n">
        <f aca="false">C14+D14</f>
        <v>29</v>
      </c>
    </row>
    <row r="15" customFormat="false" ht="15" hidden="false" customHeight="false" outlineLevel="0" collapsed="false">
      <c r="A15" s="6" t="s">
        <v>67</v>
      </c>
      <c r="B15" s="14"/>
      <c r="C15" s="14" t="n">
        <v>18</v>
      </c>
      <c r="D15" s="14"/>
      <c r="E15" s="8" t="n">
        <f aca="false">C15+D15</f>
        <v>18</v>
      </c>
    </row>
    <row r="16" customFormat="false" ht="15" hidden="false" customHeight="false" outlineLevel="0" collapsed="false">
      <c r="A16" s="6" t="s">
        <v>68</v>
      </c>
      <c r="B16" s="14"/>
      <c r="C16" s="14" t="n">
        <v>45</v>
      </c>
      <c r="D16" s="14"/>
      <c r="E16" s="8" t="n">
        <f aca="false">C16+D16</f>
        <v>45</v>
      </c>
    </row>
    <row r="17" customFormat="false" ht="15" hidden="false" customHeight="false" outlineLevel="0" collapsed="false">
      <c r="A17" s="6" t="s">
        <v>69</v>
      </c>
      <c r="B17" s="14"/>
      <c r="C17" s="14" t="n">
        <v>14</v>
      </c>
      <c r="D17" s="14"/>
      <c r="E17" s="8" t="n">
        <f aca="false">C17+D17</f>
        <v>14</v>
      </c>
    </row>
    <row r="18" customFormat="false" ht="15" hidden="false" customHeight="false" outlineLevel="0" collapsed="false">
      <c r="A18" s="6" t="s">
        <v>70</v>
      </c>
      <c r="B18" s="14"/>
      <c r="C18" s="14" t="n">
        <v>7</v>
      </c>
      <c r="D18" s="14"/>
      <c r="E18" s="8" t="n">
        <f aca="false">C18+D18</f>
        <v>7</v>
      </c>
    </row>
    <row r="19" customFormat="false" ht="15" hidden="false" customHeight="false" outlineLevel="0" collapsed="false">
      <c r="A19" s="6" t="s">
        <v>71</v>
      </c>
      <c r="B19" s="14"/>
      <c r="C19" s="14" t="n">
        <v>45</v>
      </c>
      <c r="D19" s="14"/>
      <c r="E19" s="8" t="n">
        <f aca="false">C19+D19</f>
        <v>45</v>
      </c>
    </row>
    <row r="20" customFormat="false" ht="15" hidden="false" customHeight="false" outlineLevel="0" collapsed="false">
      <c r="A20" s="6" t="s">
        <v>72</v>
      </c>
      <c r="B20" s="14"/>
      <c r="C20" s="14" t="n">
        <v>15</v>
      </c>
      <c r="D20" s="14"/>
      <c r="E20" s="8" t="n">
        <f aca="false">C20+D20</f>
        <v>15</v>
      </c>
    </row>
    <row r="21" customFormat="false" ht="15" hidden="false" customHeight="false" outlineLevel="0" collapsed="false">
      <c r="A21" s="6" t="s">
        <v>73</v>
      </c>
      <c r="B21" s="14"/>
      <c r="C21" s="14" t="n">
        <v>15</v>
      </c>
      <c r="D21" s="14"/>
      <c r="E21" s="8" t="n">
        <f aca="false">C21+D21</f>
        <v>15</v>
      </c>
    </row>
    <row r="22" customFormat="false" ht="15" hidden="false" customHeight="false" outlineLevel="0" collapsed="false">
      <c r="A22" s="6" t="s">
        <v>74</v>
      </c>
      <c r="B22" s="14"/>
      <c r="C22" s="14" t="n">
        <v>60</v>
      </c>
      <c r="D22" s="14"/>
      <c r="E22" s="8" t="n">
        <f aca="false">C22+D22</f>
        <v>60</v>
      </c>
    </row>
    <row r="23" customFormat="false" ht="15" hidden="false" customHeight="false" outlineLevel="0" collapsed="false">
      <c r="A23" s="15" t="s">
        <v>75</v>
      </c>
      <c r="B23" s="15" t="n">
        <f aca="false">SUM(B8:B22)</f>
        <v>133628</v>
      </c>
      <c r="C23" s="15" t="n">
        <f aca="false">SUM(C8:C22)</f>
        <v>1433</v>
      </c>
      <c r="D23" s="15" t="n">
        <f aca="false">SUM(D8:D22)</f>
        <v>237</v>
      </c>
      <c r="E23" s="15" t="n">
        <f aca="false">SUM(E8:E22)</f>
        <v>1670</v>
      </c>
    </row>
    <row r="25" customFormat="false" ht="15" hidden="false" customHeight="false" outlineLevel="0" collapsed="false">
      <c r="A25" s="2" t="s">
        <v>76</v>
      </c>
      <c r="E25" s="16" t="n">
        <f aca="false">B23-E23</f>
        <v>131958</v>
      </c>
    </row>
    <row r="27" customFormat="false" ht="15" hidden="false" customHeight="false" outlineLevel="0" collapsed="false">
      <c r="A27" s="3" t="s">
        <v>77</v>
      </c>
    </row>
    <row r="28" customFormat="false" ht="15" hidden="false" customHeight="false" outlineLevel="0" collapsed="false">
      <c r="A28" s="17" t="s">
        <v>78</v>
      </c>
      <c r="B28" s="18" t="n">
        <v>133628</v>
      </c>
      <c r="C28" s="3" t="str">
        <f aca="false">IF(ROUND(B23-B28,2)=0,"Agrees","DIFFERENCE "&amp;TEXT(B23-B28,"#,##0.00"))</f>
        <v>Agrees</v>
      </c>
    </row>
    <row r="29" customFormat="false" ht="15" hidden="false" customHeight="false" outlineLevel="0" collapsed="false">
      <c r="A29" s="17" t="s">
        <v>79</v>
      </c>
      <c r="B29" s="18" t="n">
        <v>1670</v>
      </c>
      <c r="C29" s="3" t="str">
        <f aca="false">IF(ROUND(E23-B29,2)=0,"Agrees","DIFFERENCE "&amp;TEXT(E23-B29,"#,##0.00"))</f>
        <v>Agrees</v>
      </c>
    </row>
    <row r="30" customFormat="false" ht="15" hidden="false" customHeight="false" outlineLevel="0" collapsed="false">
      <c r="A30" s="17" t="s">
        <v>80</v>
      </c>
      <c r="B30" s="18" t="n">
        <v>131958</v>
      </c>
      <c r="C30" s="3" t="str">
        <f aca="false">IF(ROUND(E25-B30,2)=0,"Agrees","DIFFERENCE "&amp;TEXT(E25-B30,"#,##0.00"))</f>
        <v>Agrees</v>
      </c>
    </row>
    <row r="32" customFormat="false" ht="15" hidden="false" customHeight="false" outlineLevel="0" collapsed="false">
      <c r="A32" s="19" t="s">
        <v>81</v>
      </c>
    </row>
    <row r="33" customFormat="false" ht="15" hidden="false" customHeight="false" outlineLevel="0" collapsed="false">
      <c r="A33" s="19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3" t="s">
        <v>84</v>
      </c>
    </row>
    <row r="3" customFormat="false" ht="15" hidden="false" customHeight="false" outlineLevel="0" collapsed="false">
      <c r="A3" s="3" t="s">
        <v>85</v>
      </c>
    </row>
    <row r="4" customFormat="false" ht="15" hidden="false" customHeight="false" outlineLevel="0" collapsed="false">
      <c r="A4" s="3" t="s">
        <v>86</v>
      </c>
    </row>
    <row r="5" customFormat="false" ht="15" hidden="false" customHeight="false" outlineLevel="0" collapsed="false">
      <c r="A5" s="3" t="s">
        <v>87</v>
      </c>
    </row>
    <row r="7" customFormat="false" ht="30" hidden="false" customHeight="true" outlineLevel="0" collapsed="false">
      <c r="A7" s="13" t="s">
        <v>55</v>
      </c>
      <c r="B7" s="13" t="s">
        <v>56</v>
      </c>
      <c r="C7" s="13" t="s">
        <v>57</v>
      </c>
      <c r="D7" s="13" t="s">
        <v>58</v>
      </c>
      <c r="E7" s="13" t="s">
        <v>59</v>
      </c>
    </row>
    <row r="8" customFormat="false" ht="15" hidden="false" customHeight="false" outlineLevel="0" collapsed="false">
      <c r="A8" s="6" t="s">
        <v>88</v>
      </c>
      <c r="B8" s="14"/>
      <c r="C8" s="14" t="n">
        <v>462000</v>
      </c>
      <c r="D8" s="14"/>
      <c r="E8" s="8" t="n">
        <f aca="false">C8+D8</f>
        <v>462000</v>
      </c>
    </row>
    <row r="9" customFormat="false" ht="15" hidden="false" customHeight="false" outlineLevel="0" collapsed="false">
      <c r="A9" s="6" t="s">
        <v>89</v>
      </c>
      <c r="B9" s="14" t="n">
        <v>400</v>
      </c>
      <c r="C9" s="14"/>
      <c r="D9" s="14"/>
      <c r="E9" s="8"/>
    </row>
    <row r="10" customFormat="false" ht="15" hidden="false" customHeight="false" outlineLevel="0" collapsed="false">
      <c r="A10" s="6" t="s">
        <v>90</v>
      </c>
      <c r="B10" s="14" t="n">
        <v>311938.6</v>
      </c>
      <c r="C10" s="14"/>
      <c r="D10" s="14"/>
      <c r="E10" s="8"/>
    </row>
    <row r="11" customFormat="false" ht="15" hidden="false" customHeight="false" outlineLevel="0" collapsed="false">
      <c r="A11" s="6" t="s">
        <v>91</v>
      </c>
      <c r="B11" s="14" t="n">
        <v>131958</v>
      </c>
      <c r="C11" s="14"/>
      <c r="D11" s="14"/>
      <c r="E11" s="8"/>
    </row>
    <row r="12" customFormat="false" ht="15" hidden="false" customHeight="false" outlineLevel="0" collapsed="false">
      <c r="A12" s="6" t="s">
        <v>92</v>
      </c>
      <c r="B12" s="14" t="n">
        <v>18362.34</v>
      </c>
      <c r="C12" s="14"/>
      <c r="D12" s="14"/>
      <c r="E12" s="8"/>
    </row>
    <row r="13" customFormat="false" ht="15" hidden="false" customHeight="false" outlineLevel="0" collapsed="false">
      <c r="A13" s="6" t="s">
        <v>93</v>
      </c>
      <c r="B13" s="14" t="n">
        <v>38000</v>
      </c>
      <c r="C13" s="14"/>
      <c r="D13" s="14"/>
      <c r="E13" s="8"/>
    </row>
    <row r="14" customFormat="false" ht="15" hidden="false" customHeight="false" outlineLevel="0" collapsed="false">
      <c r="A14" s="6" t="s">
        <v>62</v>
      </c>
      <c r="B14" s="14"/>
      <c r="C14" s="14" t="n">
        <v>775</v>
      </c>
      <c r="D14" s="14" t="n">
        <v>155</v>
      </c>
      <c r="E14" s="8" t="n">
        <f aca="false">C14+D14</f>
        <v>930</v>
      </c>
    </row>
    <row r="15" customFormat="false" ht="15" hidden="false" customHeight="false" outlineLevel="0" collapsed="false">
      <c r="A15" s="6" t="s">
        <v>94</v>
      </c>
      <c r="B15" s="14"/>
      <c r="C15" s="14" t="n">
        <v>100</v>
      </c>
      <c r="D15" s="14" t="n">
        <v>20</v>
      </c>
      <c r="E15" s="8" t="n">
        <f aca="false">C15+D15</f>
        <v>120</v>
      </c>
    </row>
    <row r="16" customFormat="false" ht="15" hidden="false" customHeight="false" outlineLevel="0" collapsed="false">
      <c r="A16" s="6" t="s">
        <v>63</v>
      </c>
      <c r="B16" s="14"/>
      <c r="C16" s="14" t="n">
        <v>35</v>
      </c>
      <c r="D16" s="14" t="n">
        <v>7</v>
      </c>
      <c r="E16" s="8" t="n">
        <f aca="false">C16+D16</f>
        <v>42</v>
      </c>
    </row>
    <row r="17" customFormat="false" ht="15" hidden="false" customHeight="false" outlineLevel="0" collapsed="false">
      <c r="A17" s="6" t="s">
        <v>95</v>
      </c>
      <c r="B17" s="14"/>
      <c r="C17" s="14" t="n">
        <v>75</v>
      </c>
      <c r="D17" s="14" t="n">
        <v>15</v>
      </c>
      <c r="E17" s="8" t="n">
        <f aca="false">C17+D17</f>
        <v>90</v>
      </c>
    </row>
    <row r="18" customFormat="false" ht="15" hidden="false" customHeight="false" outlineLevel="0" collapsed="false">
      <c r="A18" s="6" t="s">
        <v>96</v>
      </c>
      <c r="B18" s="14"/>
      <c r="C18" s="14" t="n">
        <v>60</v>
      </c>
      <c r="D18" s="14" t="n">
        <v>12</v>
      </c>
      <c r="E18" s="8" t="n">
        <f aca="false">C18+D18</f>
        <v>72</v>
      </c>
    </row>
    <row r="19" customFormat="false" ht="15" hidden="false" customHeight="false" outlineLevel="0" collapsed="false">
      <c r="A19" s="6" t="s">
        <v>97</v>
      </c>
      <c r="B19" s="14"/>
      <c r="C19" s="14" t="n">
        <v>300</v>
      </c>
      <c r="D19" s="14" t="n">
        <v>60</v>
      </c>
      <c r="E19" s="8" t="n">
        <f aca="false">C19+D19</f>
        <v>360</v>
      </c>
    </row>
    <row r="20" customFormat="false" ht="15" hidden="false" customHeight="false" outlineLevel="0" collapsed="false">
      <c r="A20" s="6" t="s">
        <v>98</v>
      </c>
      <c r="B20" s="14"/>
      <c r="C20" s="14" t="n">
        <v>50</v>
      </c>
      <c r="D20" s="14" t="n">
        <v>10</v>
      </c>
      <c r="E20" s="8" t="n">
        <f aca="false">C20+D20</f>
        <v>60</v>
      </c>
    </row>
    <row r="21" customFormat="false" ht="15" hidden="false" customHeight="false" outlineLevel="0" collapsed="false">
      <c r="A21" s="6" t="s">
        <v>99</v>
      </c>
      <c r="B21" s="14"/>
      <c r="C21" s="14" t="n">
        <v>7</v>
      </c>
      <c r="D21" s="14"/>
      <c r="E21" s="8" t="n">
        <f aca="false">C21+D21</f>
        <v>7</v>
      </c>
    </row>
    <row r="22" customFormat="false" ht="15" hidden="false" customHeight="false" outlineLevel="0" collapsed="false">
      <c r="A22" s="6" t="s">
        <v>100</v>
      </c>
      <c r="B22" s="14"/>
      <c r="C22" s="14" t="n">
        <v>18</v>
      </c>
      <c r="D22" s="14"/>
      <c r="E22" s="8" t="n">
        <f aca="false">C22+D22</f>
        <v>18</v>
      </c>
    </row>
    <row r="23" customFormat="false" ht="15" hidden="false" customHeight="false" outlineLevel="0" collapsed="false">
      <c r="A23" s="6" t="s">
        <v>68</v>
      </c>
      <c r="B23" s="14"/>
      <c r="C23" s="14" t="n">
        <v>45</v>
      </c>
      <c r="D23" s="14"/>
      <c r="E23" s="8" t="n">
        <f aca="false">C23+D23</f>
        <v>45</v>
      </c>
    </row>
    <row r="24" customFormat="false" ht="15" hidden="false" customHeight="false" outlineLevel="0" collapsed="false">
      <c r="A24" s="6" t="s">
        <v>101</v>
      </c>
      <c r="B24" s="14"/>
      <c r="C24" s="14" t="n">
        <v>109.66</v>
      </c>
      <c r="D24" s="14"/>
      <c r="E24" s="8" t="n">
        <f aca="false">C24+D24</f>
        <v>109.66</v>
      </c>
    </row>
    <row r="25" customFormat="false" ht="15" hidden="false" customHeight="false" outlineLevel="0" collapsed="false">
      <c r="A25" s="6" t="s">
        <v>71</v>
      </c>
      <c r="B25" s="14"/>
      <c r="C25" s="14" t="n">
        <v>150</v>
      </c>
      <c r="D25" s="14"/>
      <c r="E25" s="8" t="n">
        <f aca="false">C25+D25</f>
        <v>150</v>
      </c>
    </row>
    <row r="26" customFormat="false" ht="15" hidden="false" customHeight="false" outlineLevel="0" collapsed="false">
      <c r="A26" s="6" t="s">
        <v>102</v>
      </c>
      <c r="B26" s="14"/>
      <c r="C26" s="14" t="n">
        <v>36200</v>
      </c>
      <c r="D26" s="14"/>
      <c r="E26" s="8" t="n">
        <f aca="false">C26+D26</f>
        <v>36200</v>
      </c>
    </row>
    <row r="27" customFormat="false" ht="15" hidden="false" customHeight="false" outlineLevel="0" collapsed="false">
      <c r="A27" s="6" t="s">
        <v>103</v>
      </c>
      <c r="B27" s="14"/>
      <c r="C27" s="14" t="n">
        <v>200.28</v>
      </c>
      <c r="D27" s="14"/>
      <c r="E27" s="8" t="n">
        <f aca="false">C27+D27</f>
        <v>200.28</v>
      </c>
    </row>
    <row r="28" customFormat="false" ht="15" hidden="false" customHeight="false" outlineLevel="0" collapsed="false">
      <c r="A28" s="6" t="s">
        <v>104</v>
      </c>
      <c r="B28" s="14"/>
      <c r="C28" s="14" t="n">
        <v>60</v>
      </c>
      <c r="D28" s="14"/>
      <c r="E28" s="8" t="n">
        <f aca="false">C28+D28</f>
        <v>60</v>
      </c>
    </row>
    <row r="29" customFormat="false" ht="15" hidden="false" customHeight="false" outlineLevel="0" collapsed="false">
      <c r="A29" s="6" t="s">
        <v>105</v>
      </c>
      <c r="B29" s="14"/>
      <c r="C29" s="14" t="n">
        <v>15</v>
      </c>
      <c r="D29" s="14"/>
      <c r="E29" s="8" t="n">
        <f aca="false">C29+D29</f>
        <v>15</v>
      </c>
    </row>
    <row r="30" customFormat="false" ht="15" hidden="false" customHeight="false" outlineLevel="0" collapsed="false">
      <c r="A30" s="6" t="s">
        <v>106</v>
      </c>
      <c r="B30" s="14"/>
      <c r="C30" s="14" t="n">
        <v>20</v>
      </c>
      <c r="D30" s="14"/>
      <c r="E30" s="8" t="n">
        <f aca="false">C30+D30</f>
        <v>20</v>
      </c>
    </row>
    <row r="31" customFormat="false" ht="15" hidden="false" customHeight="false" outlineLevel="0" collapsed="false">
      <c r="A31" s="6" t="s">
        <v>107</v>
      </c>
      <c r="B31" s="14"/>
      <c r="C31" s="14" t="n">
        <v>160</v>
      </c>
      <c r="D31" s="14"/>
      <c r="E31" s="8" t="n">
        <f aca="false">C31+D31</f>
        <v>160</v>
      </c>
    </row>
    <row r="32" customFormat="false" ht="15" hidden="false" customHeight="false" outlineLevel="0" collapsed="false">
      <c r="A32" s="15" t="s">
        <v>75</v>
      </c>
      <c r="B32" s="15" t="n">
        <f aca="false">SUM(B8:B31)</f>
        <v>500658.94</v>
      </c>
      <c r="C32" s="15" t="n">
        <f aca="false">SUM(C8:C31)</f>
        <v>500379.94</v>
      </c>
      <c r="D32" s="15" t="n">
        <f aca="false">SUM(D8:D31)</f>
        <v>279</v>
      </c>
      <c r="E32" s="15" t="n">
        <f aca="false">SUM(E8:E31)</f>
        <v>500658.94</v>
      </c>
    </row>
    <row r="34" customFormat="false" ht="15" hidden="false" customHeight="false" outlineLevel="0" collapsed="false">
      <c r="A34" s="2" t="s">
        <v>76</v>
      </c>
      <c r="E34" s="16" t="n">
        <f aca="false">B32-E32</f>
        <v>0</v>
      </c>
    </row>
    <row r="36" customFormat="false" ht="15" hidden="false" customHeight="false" outlineLevel="0" collapsed="false">
      <c r="A36" s="3" t="s">
        <v>77</v>
      </c>
    </row>
    <row r="37" customFormat="false" ht="15" hidden="false" customHeight="false" outlineLevel="0" collapsed="false">
      <c r="A37" s="17" t="s">
        <v>78</v>
      </c>
      <c r="B37" s="18" t="n">
        <v>500658.94</v>
      </c>
      <c r="C37" s="3" t="str">
        <f aca="false">IF(ROUND(B32-B37,2)=0,"Agrees","DIFFERENCE "&amp;TEXT(B32-B37,"#,##0.00"))</f>
        <v>Agrees</v>
      </c>
    </row>
    <row r="38" customFormat="false" ht="15" hidden="false" customHeight="false" outlineLevel="0" collapsed="false">
      <c r="A38" s="17" t="s">
        <v>79</v>
      </c>
      <c r="B38" s="18" t="n">
        <v>500658.94</v>
      </c>
      <c r="C38" s="3" t="str">
        <f aca="false">IF(ROUND(E32-B38,2)=0,"Agrees","DIFFERENCE "&amp;TEXT(E32-B38,"#,##0.00"))</f>
        <v>Agrees</v>
      </c>
    </row>
    <row r="39" customFormat="false" ht="15" hidden="false" customHeight="false" outlineLevel="0" collapsed="false">
      <c r="A39" s="17" t="s">
        <v>80</v>
      </c>
      <c r="B39" s="18" t="n">
        <v>0</v>
      </c>
      <c r="C39" s="3" t="str">
        <f aca="false">IF(ROUND(E34-B39,2)=0,"Agrees","DIFFERENCE "&amp;TEXT(E34-B39,"#,##0.00"))</f>
        <v>Agrees</v>
      </c>
    </row>
    <row r="41" customFormat="false" ht="15" hidden="false" customHeight="false" outlineLevel="0" collapsed="false">
      <c r="A41" s="19" t="s">
        <v>108</v>
      </c>
    </row>
    <row r="42" customFormat="false" ht="15" hidden="false" customHeight="false" outlineLevel="0" collapsed="false">
      <c r="A42" s="19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2026-10-14T15:06:03Z</dcterms:created>
  <dc:creator>openpyxl</dc:creator>
  <dc:description/>
  <dc:language>en-US</dc:language>
  <cp:lastModifiedBy/>
  <dcterms:modified xsi:type="dcterms:W3CDTF">2026-10-14T15:06:03Z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