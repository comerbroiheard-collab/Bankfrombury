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Balance Sheet" sheetId="2" state="visible" r:id="rId4"/>
    <sheet name="Notes" sheetId="3" state="visible" r:id="rId5"/>
    <sheet name="Trial Balance" sheetId="4" state="visible" r:id="rId6"/>
    <sheet name="Journals" sheetId="5" state="visible" r:id="rId7"/>
    <sheet name="Monzo Reconciliation" sheetId="6" state="visible" r:id="rId8"/>
    <sheet name="Monzo Transactions" sheetId="7" state="visible" r:id="rId9"/>
    <sheet name="Monzo Categories" sheetId="8" state="visible" r:id="rId10"/>
    <sheet name="Completion Lines" sheetId="9" state="visible" r:id="rId11"/>
    <sheet name="Property Purchase" sheetId="10" state="visible" r:id="rId12"/>
  </sheets>
  <definedNames>
    <definedName function="false" hidden="true" localSheetId="8" name="_xlnm._FilterDatabase" vbProcedure="false">'Completion Lines'!$A$1:$G$41</definedName>
    <definedName function="false" hidden="true" localSheetId="6" name="_xlnm._FilterDatabase" vbProcedure="false">'Monzo Transactions'!$A$1:$N$37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Opening 01/09/2025 derived from Sep PDF: 4,682.00 − 7,682.00 + 3,000.00 = 0.00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Sep-2025 rows typed from the PDF statement (not in the Monzo export). Oct–Nov rows from the export, checked line by line against the PDFs. Dec-2025–Feb-2026 from the export only (no PDF supplied).</t>
        </r>
      </text>
    </comment>
    <comment ref="G1" authorId="0">
      <text>
        <r>
          <rPr>
            <sz val="10"/>
            <rFont val="Arial"/>
            <family val="2"/>
          </rPr>
          <t xml:space="preserve">Category = my grouping from payee + reference. Edit any cell in this column; the Categories sheet updates.</t>
        </r>
      </text>
    </comment>
    <comment ref="K1" authorId="0">
      <text>
        <r>
          <rPr>
            <sz val="10"/>
            <rFont val="Arial"/>
            <family val="2"/>
          </rPr>
          <t xml:space="preserve">Opening balance 01/09/2025 = £0.00 (Sep PDF: closing 4,682.00 − deposits 7,682.00 + outgoings 3,000.00).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My accounting classification. Edit freely – Property Purchase sheet uses SUMIFS on this column.</t>
        </r>
      </text>
    </comment>
  </commentList>
</comments>
</file>

<file path=xl/sharedStrings.xml><?xml version="1.0" encoding="utf-8"?>
<sst xmlns="http://schemas.openxmlformats.org/spreadsheetml/2006/main" count="763" uniqueCount="354">
  <si>
    <t xml:space="preserve">Alino Property Ltd</t>
  </si>
  <si>
    <t xml:space="preserve">Draft Profit and Loss Account – period 17/07/2025 to 17/02/2026 (records provided)</t>
  </si>
  <si>
    <t xml:space="preserve">£</t>
  </si>
  <si>
    <t xml:space="preserve">Turnover</t>
  </si>
  <si>
    <t xml:space="preserve">Rental income</t>
  </si>
  <si>
    <t xml:space="preserve">Building work income</t>
  </si>
  <si>
    <t xml:space="preserve">Other income (purpose to confirm)</t>
  </si>
  <si>
    <t xml:space="preserve">Total turnover</t>
  </si>
  <si>
    <t xml:space="preserve">Cost of sales</t>
  </si>
  <si>
    <t xml:space="preserve">Subcontractor / building costs</t>
  </si>
  <si>
    <t xml:space="preserve">Rent payable (rent-to-rent properties)</t>
  </si>
  <si>
    <t xml:space="preserve">Total cost of sales</t>
  </si>
  <si>
    <t xml:space="preserve">Gross profit / (loss)</t>
  </si>
  <si>
    <t xml:space="preserve">Administrative expenses</t>
  </si>
  <si>
    <t xml:space="preserve">Repairs &amp; maintenance (Seyat Can materials)</t>
  </si>
  <si>
    <t xml:space="preserve">Tenancy set-up costs (Goodlord)</t>
  </si>
  <si>
    <t xml:space="preserve">Sundry expenses (IW Group Services)</t>
  </si>
  <si>
    <t xml:space="preserve">Total administrative expenses</t>
  </si>
  <si>
    <t xml:space="preserve">Operating profit / (loss)</t>
  </si>
  <si>
    <t xml:space="preserve">Interest payable and similar charges</t>
  </si>
  <si>
    <t xml:space="preserve">Mortgage interest – Together Commercial</t>
  </si>
  <si>
    <t xml:space="preserve">Loan arrangement &amp; remortgage costs</t>
  </si>
  <si>
    <t xml:space="preserve">Total finance costs</t>
  </si>
  <si>
    <t xml:space="preserve">Profit / (loss) before tax</t>
  </si>
  <si>
    <t xml:space="preserve">Corporation tax (none – loss; losses carried forward)</t>
  </si>
  <si>
    <t xml:space="preserve">Profit / (loss) for the period</t>
  </si>
  <si>
    <t xml:space="preserve">Check: P&amp;L result = Trial Balance income − expenses (must be 0)</t>
  </si>
  <si>
    <t xml:space="preserve">Draft Balance Sheet as at 17/02/2026</t>
  </si>
  <si>
    <t xml:space="preserve">Fixed assets</t>
  </si>
  <si>
    <t xml:space="preserve">Investment property – 36 Cairnsford Road (cost)</t>
  </si>
  <si>
    <t xml:space="preserve">Improvements – 36 Cairnsford Road (Seyat Can materials)</t>
  </si>
  <si>
    <t xml:space="preserve">Investment property – 30 Strensall Road (cost – see Notes)</t>
  </si>
  <si>
    <t xml:space="preserve">Current assets</t>
  </si>
  <si>
    <t xml:space="preserve">Cash at bank – Monzo</t>
  </si>
  <si>
    <t xml:space="preserve">Cash at bank – other (share capital, not traced)</t>
  </si>
  <si>
    <t xml:space="preserve">Creditors: amounts falling due within one year</t>
  </si>
  <si>
    <t xml:space="preserve">Director's loan account – Alvine Tchega</t>
  </si>
  <si>
    <t xml:space="preserve">Loan – Kakmeni</t>
  </si>
  <si>
    <t xml:space="preserve">Loan – The Kulture Bar</t>
  </si>
  <si>
    <t xml:space="preserve">Suspense – other bank account (not provided)</t>
  </si>
  <si>
    <t xml:space="preserve">Net current assets / (liabilities)</t>
  </si>
  <si>
    <t xml:space="preserve">Total assets less current liabilities</t>
  </si>
  <si>
    <t xml:space="preserve">Creditors: amounts falling due after more than one year</t>
  </si>
  <si>
    <t xml:space="preserve">Mortgage – Together Commercial (36 Cairnsford Rd)</t>
  </si>
  <si>
    <t xml:space="preserve">Mortgage – Together Commercial (30 Strensall Rd)</t>
  </si>
  <si>
    <t xml:space="preserve">Net assets / (liabilities)</t>
  </si>
  <si>
    <t xml:space="preserve">Capital and reserves</t>
  </si>
  <si>
    <t xml:space="preserve">Called-up share capital</t>
  </si>
  <si>
    <t xml:space="preserve">Profit and loss account</t>
  </si>
  <si>
    <t xml:space="preserve">Shareholders' funds / (deficit)</t>
  </si>
  <si>
    <t xml:space="preserve">Check: net assets − shareholders' funds (must be 0)</t>
  </si>
  <si>
    <t xml:space="preserve">Draft prepared from bank statements and completion statements only. Not reviewed by an accountant; see the Notes sheet for assumptions.</t>
  </si>
  <si>
    <t xml:space="preserve">Alino Property Ltd – Draft Accounts: Notes, Inputs &amp; Assumptions</t>
  </si>
  <si>
    <t xml:space="preserve">Inputs (yellow cells can be changed)</t>
  </si>
  <si>
    <t xml:space="preserve">Include rent-split payments (rent_split.xlsx) in these accounts?</t>
  </si>
  <si>
    <t xml:space="preserve">No</t>
  </si>
  <si>
    <t xml:space="preserve">Choose Yes/No. Those 99 payments came from a different bank account, which wasn't provided, and the payer isn't confirmed as Alino Property Ltd.</t>
  </si>
  <si>
    <t xml:space="preserve">Rent payable – rent_split.xlsx rent subtotal</t>
  </si>
  <si>
    <t xml:space="preserve">Source: rent_split.xlsx › Summary › Rent subtotal (11 properties, Apr-25 to Mar-26)</t>
  </si>
  <si>
    <t xml:space="preserve">Goodlord payments – rent_split.xlsx</t>
  </si>
  <si>
    <t xml:space="preserve">Source: rent_split.xlsx › Summary › Goodlord</t>
  </si>
  <si>
    <t xml:space="preserve">IW Group Services UK – rent_split.xlsx</t>
  </si>
  <si>
    <t xml:space="preserve">Source: rent_split.xlsx › Summary › IW Group Services</t>
  </si>
  <si>
    <t xml:space="preserve">Share capital (£)</t>
  </si>
  <si>
    <t xml:space="preserve">Not provided – enter from Companies House confirmation statement</t>
  </si>
  <si>
    <t xml:space="preserve">Cost of 30 Strensall Road (£)</t>
  </si>
  <si>
    <t xml:space="preserve">Not provided – company appears to own it (MR01 charge registered); enter original cost</t>
  </si>
  <si>
    <t xml:space="preserve">Seyat Can materials £4,500 – treatment</t>
  </si>
  <si>
    <t xml:space="preserve">Asset</t>
  </si>
  <si>
    <t xml:space="preserve">Asset = improvement to 36 Cairnsford Rd (balance sheet). Repairs = repairs &amp; maintenance expense (P&amp;L). Choose from the list.</t>
  </si>
  <si>
    <t xml:space="preserve">Records used</t>
  </si>
  <si>
    <t xml:space="preserve">• Monzo business account 22148285 (Alino Property Ltd): 01/09/2025 – 17/02/2026. Sep–Nov checked to PDF statements; Dec–Feb from Monzo export only.</t>
  </si>
  <si>
    <t xml:space="preserve">• Completion statement – remortgage of 30 Strensall Road, Leicester LE2 9FT, completed 17/07/2025.</t>
  </si>
  <si>
    <t xml:space="preserve">• Completion statement (DWS Legal) – purchase of 36 Cairnsford Road, Leicester LE2 6GF, completed 17/07/2025, funded by Together Commercial Finance.</t>
  </si>
  <si>
    <t xml:space="preserve">• Optional: rent-split payments (rent_split.xlsx) – only if the switch above is set to Yes.</t>
  </si>
  <si>
    <t xml:space="preserve">Assumptions – please review</t>
  </si>
  <si>
    <t xml:space="preserve">1. Period: from 17/07/2025 (completions) to 17/02/2026 (last bank record). The year-end isn't known. Mar-26 mortgage payments and any Aug/Sep-25 payments aren't in the records.</t>
  </si>
  <si>
    <t xml:space="preserve">2. Opening position: Monzo opened with £0.00 on 01/09/2025. No prior-year balance sheet was provided, so opening reserves are taken as nil.</t>
  </si>
  <si>
    <t xml:space="preserve">3. Mortgage loans are recorded at the net advance shown on the completion statements. The gross loan and any lender fees deducted need the Together Commercial offer letters.</t>
  </si>
  <si>
    <t xml:space="preserve">4. Together Commercial direct debits are all treated as interest (interest-only commercial loans). If any part repays capital, move it to the loan balance.</t>
  </si>
  <si>
    <t xml:space="preserve">5. Loan arrangement and remortgage costs (£2,385) are expensed in full. Strictly, under FRS 102 they are spread over the loan term.</t>
  </si>
  <si>
    <t xml:space="preserve">6. VAT on fees is treated as irrecoverable, because the company is assumed not to be VAT-registered.</t>
  </si>
  <si>
    <t xml:space="preserve">7. Alvine's £18,362.34, plus money on account (£400 + £100), is treated as the director's loan account. So is the net of Alvine's Monzo transfers (+£2,600).</t>
  </si>
  <si>
    <t xml:space="preserve">8. Kakmeni £38,000 (14/07/2025) plus the £1,000 marked 'Loan' (Feb-26) is treated as a loan to the company. Kakmeni receipts marked 'Rent' or 'Sent from Revolut' are treated as rental income.</t>
  </si>
  <si>
    <t xml:space="preserve">9. The Kulture Bar receipts (£6,400, ref 'loans') are treated as a loan to the company.</t>
  </si>
  <si>
    <t xml:space="preserve">10. 'Other income received' (£7,132 – Njiaga, Siewe, Deufi, Kouchoufondjo) is treated as income because no purpose is stated. If any of it is a loan or capital, reclassify it.</t>
  </si>
  <si>
    <t xml:space="preserve">11. Seyat Can 'Material' (£4,500, Sep/Oct-25) is controlled by the switch above. Default 'Asset': it is capitalised as an improvement to 36 Cairnsford Road (bought 17/07/2025) because it was paid 2–3 months after purchase. Use 'Repairs' if it only restored existing items like-for-like. Payments to Ahmed Sayyed/Alino Ltd (£2,200) are cost of sales.</t>
  </si>
  <si>
    <t xml:space="preserve">12. No depreciation is charged on investment property, which is held at cost (FRS 102 s16 fair value not assessed). No corporation tax is due, because there is a loss.</t>
  </si>
  <si>
    <t xml:space="preserve">13. If the rent-split switch is Yes, the other bank account's balance is unknown. The payments are then funded through a suspense account until that bank statement is provided.</t>
  </si>
  <si>
    <t xml:space="preserve">Account</t>
  </si>
  <si>
    <t xml:space="preserve">Type</t>
  </si>
  <si>
    <t xml:space="preserve">Debit (£)</t>
  </si>
  <si>
    <t xml:space="preserve">Credit (£)</t>
  </si>
  <si>
    <t xml:space="preserve">Net Dr/(Cr) (£)</t>
  </si>
  <si>
    <t xml:space="preserve">Investment property – 36 Cairnsford Rd</t>
  </si>
  <si>
    <t xml:space="preserve">Investment property – 30 Strensall Rd</t>
  </si>
  <si>
    <t xml:space="preserve">Property improvements – 36 Cairnsford Rd</t>
  </si>
  <si>
    <t xml:space="preserve">Cash at bank – share capital not traced</t>
  </si>
  <si>
    <t xml:space="preserve">Mortgage – Together Commercial (Cairnsford)</t>
  </si>
  <si>
    <t xml:space="preserve">Liability</t>
  </si>
  <si>
    <t xml:space="preserve">Mortgage – Together Commercial (Strensall)</t>
  </si>
  <si>
    <t xml:space="preserve">Director's loan – Alvine Tchega</t>
  </si>
  <si>
    <t xml:space="preserve">Share capital</t>
  </si>
  <si>
    <t xml:space="preserve">Equity</t>
  </si>
  <si>
    <t xml:space="preserve">Income</t>
  </si>
  <si>
    <t xml:space="preserve">Other income (to confirm)</t>
  </si>
  <si>
    <t xml:space="preserve">Repairs &amp; maintenance</t>
  </si>
  <si>
    <t xml:space="preserve">Expense</t>
  </si>
  <si>
    <t xml:space="preserve">Rent payable</t>
  </si>
  <si>
    <t xml:space="preserve">Mortgage interest</t>
  </si>
  <si>
    <t xml:space="preserve">Totals</t>
  </si>
  <si>
    <t xml:space="preserve">Unmapped journal lines (must be 0)</t>
  </si>
  <si>
    <t xml:space="preserve">Monzo balance check vs statement 17/02/2026 £129.95 (must be 0)</t>
  </si>
  <si>
    <t xml:space="preserve">#</t>
  </si>
  <si>
    <t xml:space="preserve">Date</t>
  </si>
  <si>
    <t xml:space="preserve">Description</t>
  </si>
  <si>
    <t xml:space="preserve">Source</t>
  </si>
  <si>
    <t xml:space="preserve">17/07/2025</t>
  </si>
  <si>
    <t xml:space="preserve">Purchase of 36 Cairnsford Rd – price, SDLT &amp; acquisition fees</t>
  </si>
  <si>
    <t xml:space="preserve">Completion Lines</t>
  </si>
  <si>
    <t xml:space="preserve">Lender fees – Cairnsford mortgage</t>
  </si>
  <si>
    <t xml:space="preserve">Remortgage costs – 30 Strensall Rd</t>
  </si>
  <si>
    <t xml:space="preserve">Together Commercial advance – Cairnsford (net)</t>
  </si>
  <si>
    <t xml:space="preserve">Together Commercial advance – Strensall remortgage (net)</t>
  </si>
  <si>
    <t xml:space="preserve">Funds from Alvine + money on account</t>
  </si>
  <si>
    <t xml:space="preserve">14/07/2025</t>
  </si>
  <si>
    <t xml:space="preserve">Funds from Kakmeni towards purchase</t>
  </si>
  <si>
    <t xml:space="preserve">Sep-25–Feb-26</t>
  </si>
  <si>
    <t xml:space="preserve">Rent received – Kakmeni</t>
  </si>
  <si>
    <t xml:space="preserve">Monzo Transactions</t>
  </si>
  <si>
    <t xml:space="preserve">Other receipts (purpose not stated)</t>
  </si>
  <si>
    <t xml:space="preserve">Dec-25–Jan-26</t>
  </si>
  <si>
    <t xml:space="preserve">Building work – Alino Ltd</t>
  </si>
  <si>
    <t xml:space="preserve">Sep-25</t>
  </si>
  <si>
    <t xml:space="preserve">Loans – The Kulture Bar</t>
  </si>
  <si>
    <t xml:space="preserve">Feb-26</t>
  </si>
  <si>
    <t xml:space="preserve">Loan – Kakmeni J</t>
  </si>
  <si>
    <t xml:space="preserve">Oct-25–Feb-26</t>
  </si>
  <si>
    <t xml:space="preserve">Director transfers (net in)</t>
  </si>
  <si>
    <t xml:space="preserve">Sep-25–Oct-25</t>
  </si>
  <si>
    <t xml:space="preserve">Seyat Can materials – capitalised (if switch = Asset)</t>
  </si>
  <si>
    <t xml:space="preserve">Seyat Can materials – repairs (if switch = Repairs)</t>
  </si>
  <si>
    <t xml:space="preserve">Seyat Can materials paid</t>
  </si>
  <si>
    <t xml:space="preserve">Oct-25 &amp; Dec-25</t>
  </si>
  <si>
    <t xml:space="preserve">Payments – Ahmed Sayyed / Alino Ltd</t>
  </si>
  <si>
    <t xml:space="preserve">Together Commercial direct debits</t>
  </si>
  <si>
    <t xml:space="preserve">Apr-25–Mar-26</t>
  </si>
  <si>
    <t xml:space="preserve">Rent payable – 11 properties (if included)</t>
  </si>
  <si>
    <t xml:space="preserve">Notes inputs / rent_split.xlsx</t>
  </si>
  <si>
    <t xml:space="preserve">Aug-25</t>
  </si>
  <si>
    <t xml:space="preserve">Goodlord payments (if included)</t>
  </si>
  <si>
    <t xml:space="preserve">Dec-25–Mar-26</t>
  </si>
  <si>
    <t xml:space="preserve">IW Group Services (if included)</t>
  </si>
  <si>
    <t xml:space="preserve">Paid from other bank account – not provided</t>
  </si>
  <si>
    <t xml:space="preserve">—</t>
  </si>
  <si>
    <t xml:space="preserve">Share capital (input)</t>
  </si>
  <si>
    <t xml:space="preserve">Notes input</t>
  </si>
  <si>
    <t xml:space="preserve">30 Strensall Rd cost (input)</t>
  </si>
  <si>
    <t xml:space="preserve">Notes input – assumed introduced by director</t>
  </si>
  <si>
    <t xml:space="preserve">Debits − Credits (must be 0)</t>
  </si>
  <si>
    <t xml:space="preserve">Monzo Business Account (Alino Property Ltd) – Monthly Reconciliation</t>
  </si>
  <si>
    <t xml:space="preserve">Blue = figures typed from the statement. Black = formulas from the Monzo Transactions sheet. Difference should be 0.</t>
  </si>
  <si>
    <t xml:space="preserve">Month</t>
  </si>
  <si>
    <t xml:space="preserve">Opening (£)</t>
  </si>
  <si>
    <t xml:space="preserve">Money In (£)</t>
  </si>
  <si>
    <t xml:space="preserve">Money Out (£)</t>
  </si>
  <si>
    <t xml:space="preserve">Calculated Closing (£)</t>
  </si>
  <si>
    <t xml:space="preserve">Statement Closing (£)</t>
  </si>
  <si>
    <t xml:space="preserve">Difference (£)</t>
  </si>
  <si>
    <t xml:space="preserve">Statement Deposits (£)</t>
  </si>
  <si>
    <t xml:space="preserve">Statement Outgoings (£)</t>
  </si>
  <si>
    <t xml:space="preserve">In / Out Check (£)</t>
  </si>
  <si>
    <t xml:space="preserve">Status</t>
  </si>
  <si>
    <t xml:space="preserve">Statement source</t>
  </si>
  <si>
    <t xml:space="preserve">2025-09</t>
  </si>
  <si>
    <t xml:space="preserve">PDF statement 01/09–30/09/2025</t>
  </si>
  <si>
    <t xml:space="preserve">2025-10</t>
  </si>
  <si>
    <t xml:space="preserve">PDF statement 01/10–31/10/2025</t>
  </si>
  <si>
    <t xml:space="preserve">2025-11</t>
  </si>
  <si>
    <t xml:space="preserve">PDF statement 01/11–30/11/2025</t>
  </si>
  <si>
    <t xml:space="preserve">2025-12</t>
  </si>
  <si>
    <t xml:space="preserve">n/a</t>
  </si>
  <si>
    <t xml:space="preserve">Monzo export – last balance in month (no PDF)</t>
  </si>
  <si>
    <t xml:space="preserve">2026-01</t>
  </si>
  <si>
    <t xml:space="preserve">2026-02</t>
  </si>
  <si>
    <t xml:space="preserve">Monzo export – last balance to 17/02/2026 (no PDF)</t>
  </si>
  <si>
    <t xml:space="preserve">Total</t>
  </si>
  <si>
    <t xml:space="preserve">Rows with a running-balance mismatch:</t>
  </si>
  <si>
    <t xml:space="preserve">Name</t>
  </si>
  <si>
    <t xml:space="preserve">Reference</t>
  </si>
  <si>
    <t xml:space="preserve">Monzo Category</t>
  </si>
  <si>
    <t xml:space="preserve">Category</t>
  </si>
  <si>
    <t xml:space="preserve">Amount (£)</t>
  </si>
  <si>
    <t xml:space="preserve">Running Balance (£)</t>
  </si>
  <si>
    <t xml:space="preserve">Statement Balance (£)</t>
  </si>
  <si>
    <t xml:space="preserve">Faster payment</t>
  </si>
  <si>
    <t xml:space="preserve">THE KULTURE BAR AN</t>
  </si>
  <si>
    <t xml:space="preserve">loans</t>
  </si>
  <si>
    <t xml:space="preserve">Loans received</t>
  </si>
  <si>
    <t xml:space="preserve">PDF statement Sep-2025</t>
  </si>
  <si>
    <t xml:space="preserve">LOANS</t>
  </si>
  <si>
    <t xml:space="preserve">FRANCK ERIC NJIAGA</t>
  </si>
  <si>
    <t xml:space="preserve">CHASE</t>
  </si>
  <si>
    <t xml:space="preserve">Other income received</t>
  </si>
  <si>
    <t xml:space="preserve">Seyat Can</t>
  </si>
  <si>
    <t xml:space="preserve">Material</t>
  </si>
  <si>
    <t xml:space="preserve">Services</t>
  </si>
  <si>
    <t xml:space="preserve">Building materials (Seyat Can)</t>
  </si>
  <si>
    <t xml:space="preserve">Monzo export + PDF statement</t>
  </si>
  <si>
    <t xml:space="preserve">MIRABELLE SIEWE</t>
  </si>
  <si>
    <t xml:space="preserve">Mirabelle</t>
  </si>
  <si>
    <t xml:space="preserve">GUY NOEL DEUFI</t>
  </si>
  <si>
    <t xml:space="preserve">guy exch</t>
  </si>
  <si>
    <t xml:space="preserve">Monzo-to-Monzo</t>
  </si>
  <si>
    <t xml:space="preserve">Alvine Tchega</t>
  </si>
  <si>
    <t xml:space="preserve">Transfers</t>
  </si>
  <si>
    <t xml:space="preserve">Director transfers (Alvine Tchega)</t>
  </si>
  <si>
    <t xml:space="preserve">Ahmed Sayyed</t>
  </si>
  <si>
    <t xml:space="preserve">Alino property Ltd</t>
  </si>
  <si>
    <t xml:space="preserve">Bills</t>
  </si>
  <si>
    <t xml:space="preserve">Payments to Alino / Ahmed Sayyed</t>
  </si>
  <si>
    <t xml:space="preserve">Direct Debit</t>
  </si>
  <si>
    <t xml:space="preserve">Together Commercia</t>
  </si>
  <si>
    <t xml:space="preserve">10395974-002</t>
  </si>
  <si>
    <t xml:space="preserve">Mortgage – Together Commercial (10395974-002)</t>
  </si>
  <si>
    <t xml:space="preserve">10395973-002</t>
  </si>
  <si>
    <t xml:space="preserve">Mortgage – Together Commercial (10395973-002)</t>
  </si>
  <si>
    <t xml:space="preserve">Jean Alain Kakmeni</t>
  </si>
  <si>
    <t xml:space="preserve">Sent from Revolut</t>
  </si>
  <si>
    <t xml:space="preserve">Monzo export</t>
  </si>
  <si>
    <t xml:space="preserve">KAKMENI MR J</t>
  </si>
  <si>
    <t xml:space="preserve">Rent</t>
  </si>
  <si>
    <t xml:space="preserve">ALINO LTD</t>
  </si>
  <si>
    <t xml:space="preserve">Building work</t>
  </si>
  <si>
    <t xml:space="preserve">Building work income (Alino Ltd)</t>
  </si>
  <si>
    <t xml:space="preserve">Alino Ltd</t>
  </si>
  <si>
    <t xml:space="preserve">ALVINE KOUAYA TCHEGA</t>
  </si>
  <si>
    <t xml:space="preserve">Mortgage new</t>
  </si>
  <si>
    <t xml:space="preserve">J Kouchoufondjo</t>
  </si>
  <si>
    <t xml:space="preserve">Jean Calvin</t>
  </si>
  <si>
    <t xml:space="preserve">KAKMENI J</t>
  </si>
  <si>
    <t xml:space="preserve">Loan</t>
  </si>
  <si>
    <t xml:space="preserve">Bank transfer</t>
  </si>
  <si>
    <t xml:space="preserve">Alvine Kouaya Tchega</t>
  </si>
  <si>
    <t xml:space="preserve">BTL</t>
  </si>
  <si>
    <t xml:space="preserve">Monzo – Totals by Category and Month (Amount: + in / − out)</t>
  </si>
  <si>
    <t xml:space="preserve">SUMIFS over the Monzo Transactions sheet. Change a Category there and this table follows.</t>
  </si>
  <si>
    <t xml:space="preserve">Total (£)</t>
  </si>
  <si>
    <t xml:space="preserve">Count</t>
  </si>
  <si>
    <t xml:space="preserve">Notes</t>
  </si>
  <si>
    <t xml:space="preserve">Account holder moving own money in/out.</t>
  </si>
  <si>
    <t xml:space="preserve">Kulture Bar 'loans' (Sep) and Kakmeni J 'Loan' (Feb).</t>
  </si>
  <si>
    <t xml:space="preserve">Njiaga (CHASE), Siewe, Deufi (guy exch), Kouchoufondjo – purpose not stated; confirm.</t>
  </si>
  <si>
    <t xml:space="preserve">Assumed rent: one payment says 'Rent'; Revolut payments from the same person treated the same. 'Loan' payment is under Loans received.</t>
  </si>
  <si>
    <t xml:space="preserve">Ahmed Sayyed payment had reference 'Alino property Ltd'.</t>
  </si>
  <si>
    <t xml:space="preserve">Net movement</t>
  </si>
  <si>
    <t xml:space="preserve">Check vs reconciliation (should be 0)</t>
  </si>
  <si>
    <t xml:space="preserve">Statement</t>
  </si>
  <si>
    <t xml:space="preserve">Item</t>
  </si>
  <si>
    <t xml:space="preserve">Paid In (£)</t>
  </si>
  <si>
    <t xml:space="preserve">Paid Out – net (£)</t>
  </si>
  <si>
    <t xml:space="preserve">VAT (£)</t>
  </si>
  <si>
    <t xml:space="preserve">Paid Out – gross (£)</t>
  </si>
  <si>
    <t xml:space="preserve">Classification</t>
  </si>
  <si>
    <t xml:space="preserve">30 Strensall Rd – Remortgage (17/07/2025)</t>
  </si>
  <si>
    <t xml:space="preserve">Mortgage advance minus 3rd party solicitors fee</t>
  </si>
  <si>
    <t xml:space="preserve">Funding – Strensall remortgage advance (net)</t>
  </si>
  <si>
    <t xml:space="preserve">Money on account 8.4.2025</t>
  </si>
  <si>
    <t xml:space="preserve">Funding – money on account</t>
  </si>
  <si>
    <t xml:space="preserve">Legal Fees</t>
  </si>
  <si>
    <t xml:space="preserve">Finance cost – Strensall remortgage</t>
  </si>
  <si>
    <t xml:space="preserve">File Setup Fee</t>
  </si>
  <si>
    <t xml:space="preserve">Mortgage Fee</t>
  </si>
  <si>
    <t xml:space="preserve">Third party sols fee for dealing</t>
  </si>
  <si>
    <t xml:space="preserve">No Searches Indemnity Insurance Policy</t>
  </si>
  <si>
    <t xml:space="preserve">Land Charges Search (£6 per person) x 3</t>
  </si>
  <si>
    <t xml:space="preserve">Bank Transfer Fee</t>
  </si>
  <si>
    <t xml:space="preserve">Land Registry Documents</t>
  </si>
  <si>
    <t xml:space="preserve">Land Registry Search – OS1</t>
  </si>
  <si>
    <t xml:space="preserve">Land Registry Fees</t>
  </si>
  <si>
    <t xml:space="preserve">MR01 Companies House registration of charge</t>
  </si>
  <si>
    <t xml:space="preserve">Company winding up search</t>
  </si>
  <si>
    <t xml:space="preserve">Company search – Global</t>
  </si>
  <si>
    <t xml:space="preserve">Balance due on completion → sent to Cairnsford purchase</t>
  </si>
  <si>
    <t xml:space="preserve">Transfer – Strensall proceeds to Cairnsford</t>
  </si>
  <si>
    <t xml:space="preserve">36 Cairnsford Rd – Purchase (17/07/2025)</t>
  </si>
  <si>
    <t xml:space="preserve">Purchase Price</t>
  </si>
  <si>
    <t xml:space="preserve">Property cost – purchase price</t>
  </si>
  <si>
    <t xml:space="preserve">Money on Account</t>
  </si>
  <si>
    <t xml:space="preserve">Mortgage advance from lender's solicitors (net of their fees)</t>
  </si>
  <si>
    <t xml:space="preserve">Funding – Together Commercial mortgage (net)</t>
  </si>
  <si>
    <t xml:space="preserve">Proceeds from 30 Strensall</t>
  </si>
  <si>
    <t xml:space="preserve">Money from client – Alvine 14.7.25</t>
  </si>
  <si>
    <t xml:space="preserve">Funding – Alvine Tchega</t>
  </si>
  <si>
    <t xml:space="preserve">Money from client – Kakmeni 14.7.25</t>
  </si>
  <si>
    <t xml:space="preserve">Funding – Kakmeni</t>
  </si>
  <si>
    <t xml:space="preserve">Property cost – legal &amp; acquisition fees</t>
  </si>
  <si>
    <t xml:space="preserve">Mortgage Admin Fee</t>
  </si>
  <si>
    <t xml:space="preserve">Finance cost – Cairnsford mortgage</t>
  </si>
  <si>
    <t xml:space="preserve">Stamp Duty Land Tax Form Fee</t>
  </si>
  <si>
    <t xml:space="preserve">Anti-Money Laundering Check Fee (£30 pp)</t>
  </si>
  <si>
    <t xml:space="preserve">Third party lender solicitors fee</t>
  </si>
  <si>
    <t xml:space="preserve">Policy arrangement fee</t>
  </si>
  <si>
    <t xml:space="preserve">Land Registry Search</t>
  </si>
  <si>
    <t xml:space="preserve">Land Charges Search (£6 pp)</t>
  </si>
  <si>
    <t xml:space="preserve">Searches Pack</t>
  </si>
  <si>
    <t xml:space="preserve">Stamp Duty (SDLT)</t>
  </si>
  <si>
    <t xml:space="preserve">Property cost – Stamp Duty (SDLT)</t>
  </si>
  <si>
    <t xml:space="preserve">Search perusal Fee</t>
  </si>
  <si>
    <t xml:space="preserve">Company search fee</t>
  </si>
  <si>
    <t xml:space="preserve">MR01</t>
  </si>
  <si>
    <t xml:space="preserve">Winding up Search Fee</t>
  </si>
  <si>
    <t xml:space="preserve">Insolvency indemnity policy required by lender</t>
  </si>
  <si>
    <t xml:space="preserve">Check against statement totals</t>
  </si>
  <si>
    <t xml:space="preserve">Paid In – calc</t>
  </si>
  <si>
    <t xml:space="preserve">Paid In – statement</t>
  </si>
  <si>
    <t xml:space="preserve">Paid Out – calc</t>
  </si>
  <si>
    <t xml:space="preserve">Paid Out – statement</t>
  </si>
  <si>
    <t xml:space="preserve">PDF: CompletionStatement_1093081_Tchega_2025-07-15 (total out £1,670 + balance due £131,958)</t>
  </si>
  <si>
    <t xml:space="preserve">PDF: Complation_Statement (DWS Legal), totals £500,658.94 / £500,658.94, balance £0.00</t>
  </si>
  <si>
    <t xml:space="preserve">36 Cairnsford Road, Leicester LE2 6GF – Purchase Analysis (Alino Property Ltd)</t>
  </si>
  <si>
    <t xml:space="preserve">Completed 17/07/2025, funded partly by remortgage of 30 Strensall Road. All figures are SUMIFS over Completion Lines (gross incl. VAT – treated as irrecoverable).</t>
  </si>
  <si>
    <t xml:space="preserve">A. Cost of property (capitalise – fixed asset / investment property)</t>
  </si>
  <si>
    <t xml:space="preserve">Purchase price</t>
  </si>
  <si>
    <t xml:space="preserve">Stamp Duty Land Tax</t>
  </si>
  <si>
    <t xml:space="preserve">SDLT is part of the cost of the property</t>
  </si>
  <si>
    <t xml:space="preserve">Legal &amp; acquisition fees (incl. VAT)</t>
  </si>
  <si>
    <t xml:space="preserve">Legal, searches, Land Registry, AML, SDLT form, bank transfer</t>
  </si>
  <si>
    <t xml:space="preserve">Total cost of 36 Cairnsford Road</t>
  </si>
  <si>
    <t xml:space="preserve">B. Finance / loan arrangement costs (not property cost)</t>
  </si>
  <si>
    <t xml:space="preserve">Cairnsford mortgage – lender-related fees</t>
  </si>
  <si>
    <t xml:space="preserve">Mortgage admin, lender sols, policy arrangement, insolvency indemnity, MR01</t>
  </si>
  <si>
    <t xml:space="preserve">30 Strensall remortgage – all costs</t>
  </si>
  <si>
    <t xml:space="preserve">Whole remortgage statement (£1,670); spread over loan term or expense</t>
  </si>
  <si>
    <t xml:space="preserve">C. How the purchase was funded (Cairnsford statement – paid in)</t>
  </si>
  <si>
    <t xml:space="preserve">Together Commercial mortgage (net advance)</t>
  </si>
  <si>
    <t xml:space="preserve">Net of lender's solicitor fees; gross loan not shown on statement</t>
  </si>
  <si>
    <t xml:space="preserve">Proceeds of 30 Strensall remortgage</t>
  </si>
  <si>
    <t xml:space="preserve">Equals £133,528 advance + £100 on account − £1,670 costs</t>
  </si>
  <si>
    <t xml:space="preserve">Alvine Tchega – money in 14/07/2025</t>
  </si>
  <si>
    <t xml:space="preserve">Director's loan to company (confirm)</t>
  </si>
  <si>
    <t xml:space="preserve">Kakmeni – money in 14/07/2025</t>
  </si>
  <si>
    <t xml:space="preserve">Loan or investment? Ties to Kakmeni receipts on Monzo (confirm)</t>
  </si>
  <si>
    <t xml:space="preserve">Money on account (Cairnsford)</t>
  </si>
  <si>
    <t xml:space="preserve">Total funds in for purchase</t>
  </si>
  <si>
    <t xml:space="preserve">D. Check</t>
  </si>
  <si>
    <t xml:space="preserve">Cost (A) + Cairnsford finance fees</t>
  </si>
  <si>
    <t xml:space="preserve">Funds in (C)</t>
  </si>
  <si>
    <t xml:space="preserve">Difference (should be 0)</t>
  </si>
  <si>
    <t xml:space="preserve">E. Ongoing mortgage payments (from Monzo business account)</t>
  </si>
  <si>
    <t xml:space="preserve">Together Commercial DD 10395974-002 – paid Oct-25 to Feb-26</t>
  </si>
  <si>
    <t xml:space="preserve">Likely the larger Cairnsford loan (confirm with Together)</t>
  </si>
  <si>
    <t xml:space="preserve">Together Commercial DD 10395973-002 – paid Oct-25 to Feb-26</t>
  </si>
  <si>
    <t xml:space="preserve">Likely the 30 Strensall remortgage (confirm with Together)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</si>
</sst>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;&quot;(£&quot;#,##0.00\);\-"/>
    <numFmt numFmtId="166" formatCode="\£#,##0.00;&quot;-£&quot;#,##0.00;\-"/>
    <numFmt numFmtId="167" formatCode="dd/mm/yyyy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 style="double"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IF(Notes!B4="Yes","Includes rent-split payments (Apr-25 – Mar-26) – see Notes","Excludes rent-split payments – see Notes switch")</f>
        <v>Excludes rent-split payments – see Notes switch</v>
      </c>
    </row>
    <row r="5" customFormat="false" ht="15" hidden="false" customHeight="false" outlineLevel="0" collapsed="false">
      <c r="B5" s="4" t="s">
        <v>2</v>
      </c>
      <c r="C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5" t="s">
        <v>4</v>
      </c>
      <c r="B7" s="6" t="n">
        <f aca="false">-SUMIFS('Trial Balance'!$E:$E,'Trial Balance'!$A:$A,"Rental income")</f>
        <v>2200</v>
      </c>
    </row>
    <row r="8" customFormat="false" ht="15" hidden="false" customHeight="false" outlineLevel="0" collapsed="false">
      <c r="A8" s="5" t="s">
        <v>5</v>
      </c>
      <c r="B8" s="6" t="n">
        <f aca="false">-SUMIFS('Trial Balance'!$E:$E,'Trial Balance'!$A:$A,"Building work income")</f>
        <v>4000</v>
      </c>
    </row>
    <row r="9" customFormat="false" ht="15" hidden="false" customHeight="false" outlineLevel="0" collapsed="false">
      <c r="A9" s="5" t="s">
        <v>6</v>
      </c>
      <c r="B9" s="6" t="n">
        <f aca="false">-SUMIFS('Trial Balance'!$E:$E,'Trial Balance'!$A:$A,"Other income (to confirm)")</f>
        <v>7132</v>
      </c>
    </row>
    <row r="10" customFormat="false" ht="15" hidden="false" customHeight="false" outlineLevel="0" collapsed="false">
      <c r="A10" s="2" t="s">
        <v>7</v>
      </c>
      <c r="C10" s="7" t="n">
        <f aca="false">SUM(B7:B9)</f>
        <v>13332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5" t="s">
        <v>9</v>
      </c>
      <c r="B13" s="6" t="n">
        <f aca="false">SUMIFS('Trial Balance'!$E:$E,'Trial Balance'!$A:$A,"Subcontractor / building costs")</f>
        <v>2200</v>
      </c>
    </row>
    <row r="14" customFormat="false" ht="15" hidden="false" customHeight="false" outlineLevel="0" collapsed="false">
      <c r="A14" s="5" t="s">
        <v>10</v>
      </c>
      <c r="B14" s="6" t="n">
        <f aca="false">SUMIFS('Trial Balance'!$E:$E,'Trial Balance'!$A:$A,"Rent payable")</f>
        <v>0</v>
      </c>
    </row>
    <row r="15" customFormat="false" ht="15" hidden="false" customHeight="false" outlineLevel="0" collapsed="false">
      <c r="A15" s="2" t="s">
        <v>11</v>
      </c>
      <c r="C15" s="7" t="n">
        <f aca="false">SUM(B13:B14)</f>
        <v>2200</v>
      </c>
    </row>
    <row r="17" customFormat="false" ht="15" hidden="false" customHeight="false" outlineLevel="0" collapsed="false">
      <c r="A17" s="2" t="s">
        <v>12</v>
      </c>
      <c r="C17" s="7" t="n">
        <f aca="false">C10-C15</f>
        <v>11132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5" t="s">
        <v>14</v>
      </c>
      <c r="B20" s="6" t="n">
        <f aca="false">SUMIFS('Trial Balance'!$E:$E,'Trial Balance'!$A:$A,"Repairs &amp; maintenance")</f>
        <v>0</v>
      </c>
    </row>
    <row r="21" customFormat="false" ht="15" hidden="false" customHeight="false" outlineLevel="0" collapsed="false">
      <c r="A21" s="5" t="s">
        <v>15</v>
      </c>
      <c r="B21" s="6" t="n">
        <f aca="false">SUMIFS('Trial Balance'!$E:$E,'Trial Balance'!$A:$A,"Tenancy set-up costs (Goodlord)")</f>
        <v>0</v>
      </c>
    </row>
    <row r="22" customFormat="false" ht="15" hidden="false" customHeight="false" outlineLevel="0" collapsed="false">
      <c r="A22" s="5" t="s">
        <v>16</v>
      </c>
      <c r="B22" s="6" t="n">
        <f aca="false">SUMIFS('Trial Balance'!$E:$E,'Trial Balance'!$A:$A,"Sundry expenses (IW Group Services)")</f>
        <v>0</v>
      </c>
    </row>
    <row r="23" customFormat="false" ht="15" hidden="false" customHeight="false" outlineLevel="0" collapsed="false">
      <c r="A23" s="2" t="s">
        <v>17</v>
      </c>
      <c r="C23" s="7" t="n">
        <f aca="false">SUM(B20:B22)</f>
        <v>0</v>
      </c>
    </row>
    <row r="25" customFormat="false" ht="15" hidden="false" customHeight="false" outlineLevel="0" collapsed="false">
      <c r="A25" s="2" t="s">
        <v>18</v>
      </c>
      <c r="C25" s="7" t="n">
        <f aca="false">C17-C23</f>
        <v>11132</v>
      </c>
    </row>
    <row r="27" customFormat="false" ht="15" hidden="false" customHeight="false" outlineLevel="0" collapsed="false">
      <c r="A27" s="2" t="s">
        <v>19</v>
      </c>
    </row>
    <row r="28" customFormat="false" ht="15" hidden="false" customHeight="false" outlineLevel="0" collapsed="false">
      <c r="A28" s="5" t="s">
        <v>20</v>
      </c>
      <c r="B28" s="6" t="n">
        <f aca="false">SUMIFS('Trial Balance'!$E:$E,'Trial Balance'!$A:$A,"Mortgage interest")</f>
        <v>16502.05</v>
      </c>
    </row>
    <row r="29" customFormat="false" ht="15" hidden="false" customHeight="false" outlineLevel="0" collapsed="false">
      <c r="A29" s="5" t="s">
        <v>21</v>
      </c>
      <c r="B29" s="6" t="n">
        <f aca="false">SUMIFS('Trial Balance'!$E:$E,'Trial Balance'!$A:$A,"Loan arrangement &amp; remortgage costs")</f>
        <v>2385</v>
      </c>
    </row>
    <row r="30" customFormat="false" ht="15" hidden="false" customHeight="false" outlineLevel="0" collapsed="false">
      <c r="A30" s="2" t="s">
        <v>22</v>
      </c>
      <c r="C30" s="7" t="n">
        <f aca="false">SUM(B28:B29)</f>
        <v>18887.05</v>
      </c>
    </row>
    <row r="32" customFormat="false" ht="15" hidden="false" customHeight="false" outlineLevel="0" collapsed="false">
      <c r="A32" s="2" t="s">
        <v>23</v>
      </c>
      <c r="C32" s="7" t="n">
        <f aca="false">C25-C30</f>
        <v>-7755.05</v>
      </c>
    </row>
    <row r="34" customFormat="false" ht="15" hidden="false" customHeight="false" outlineLevel="0" collapsed="false">
      <c r="A34" s="5" t="s">
        <v>24</v>
      </c>
      <c r="C34" s="6" t="n">
        <f aca="false">0</f>
        <v>0</v>
      </c>
    </row>
    <row r="35" customFormat="false" ht="15" hidden="false" customHeight="false" outlineLevel="0" collapsed="false">
      <c r="A35" s="2" t="s">
        <v>25</v>
      </c>
      <c r="C35" s="8" t="n">
        <f aca="false">C32-C34</f>
        <v>-7755.05</v>
      </c>
    </row>
    <row r="37" customFormat="false" ht="15" hidden="false" customHeight="false" outlineLevel="0" collapsed="false">
      <c r="A37" s="3" t="s">
        <v>26</v>
      </c>
      <c r="C37" s="9" t="n">
        <f aca="false">ROUND(C35+SUMIFS('Trial Balance'!$E:$E,'Trial Balance'!$B:$B,"Income")+SUMIFS('Trial Balance'!$E:$E,'Trial Balance'!$B:$B,"Expense"),2)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3" t="str">
        <f aca="false">'P&amp;L'!A3</f>
        <v>Excludes rent-split payments – see Notes switch</v>
      </c>
    </row>
    <row r="5" customFormat="false" ht="15" hidden="false" customHeight="false" outlineLevel="0" collapsed="false">
      <c r="B5" s="4" t="s">
        <v>2</v>
      </c>
      <c r="C5" s="4" t="s">
        <v>2</v>
      </c>
    </row>
    <row r="6" customFormat="false" ht="15" hidden="false" customHeight="false" outlineLevel="0" collapsed="false">
      <c r="A6" s="2" t="s">
        <v>28</v>
      </c>
    </row>
    <row r="7" customFormat="false" ht="15" hidden="false" customHeight="false" outlineLevel="0" collapsed="false">
      <c r="A7" s="5" t="s">
        <v>29</v>
      </c>
      <c r="B7" s="6" t="n">
        <f aca="false">SUMIFS('Trial Balance'!$E:$E,'Trial Balance'!$A:$A,"Investment property – 36 Cairnsford Rd")</f>
        <v>499943.94</v>
      </c>
    </row>
    <row r="8" customFormat="false" ht="15" hidden="false" customHeight="false" outlineLevel="0" collapsed="false">
      <c r="A8" s="5" t="s">
        <v>30</v>
      </c>
      <c r="B8" s="6" t="n">
        <f aca="false">SUMIFS('Trial Balance'!$E:$E,'Trial Balance'!$A:$A,"Property improvements – 36 Cairnsford Rd")</f>
        <v>4500</v>
      </c>
    </row>
    <row r="9" customFormat="false" ht="15" hidden="false" customHeight="false" outlineLevel="0" collapsed="false">
      <c r="A9" s="5" t="s">
        <v>31</v>
      </c>
      <c r="B9" s="6" t="n">
        <f aca="false">SUMIFS('Trial Balance'!$E:$E,'Trial Balance'!$A:$A,"Investment property – 30 Strensall Rd")</f>
        <v>0</v>
      </c>
    </row>
    <row r="10" customFormat="false" ht="15" hidden="false" customHeight="false" outlineLevel="0" collapsed="false">
      <c r="A10" s="2"/>
      <c r="C10" s="7" t="n">
        <f aca="false">SUM(B7:B9)</f>
        <v>504443.94</v>
      </c>
    </row>
    <row r="12" customFormat="false" ht="15" hidden="false" customHeight="false" outlineLevel="0" collapsed="false">
      <c r="A12" s="2" t="s">
        <v>32</v>
      </c>
    </row>
    <row r="13" customFormat="false" ht="15" hidden="false" customHeight="false" outlineLevel="0" collapsed="false">
      <c r="A13" s="5" t="s">
        <v>33</v>
      </c>
      <c r="B13" s="6" t="n">
        <f aca="false">SUMIFS('Trial Balance'!$E:$E,'Trial Balance'!$A:$A,"Cash at bank – Monzo")</f>
        <v>129.950000000001</v>
      </c>
    </row>
    <row r="14" customFormat="false" ht="15" hidden="false" customHeight="false" outlineLevel="0" collapsed="false">
      <c r="A14" s="5" t="s">
        <v>34</v>
      </c>
      <c r="B14" s="6" t="n">
        <f aca="false">SUMIFS('Trial Balance'!$E:$E,'Trial Balance'!$A:$A,"Cash at bank – share capital not traced")</f>
        <v>0</v>
      </c>
    </row>
    <row r="15" customFormat="false" ht="15" hidden="false" customHeight="false" outlineLevel="0" collapsed="false">
      <c r="A15" s="2"/>
      <c r="C15" s="7" t="n">
        <f aca="false">SUM(B13:B14)</f>
        <v>129.950000000001</v>
      </c>
    </row>
    <row r="16" customFormat="false" ht="15" hidden="false" customHeight="false" outlineLevel="0" collapsed="false">
      <c r="A16" s="2" t="s">
        <v>35</v>
      </c>
    </row>
    <row r="17" customFormat="false" ht="15" hidden="false" customHeight="false" outlineLevel="0" collapsed="false">
      <c r="A17" s="5" t="s">
        <v>36</v>
      </c>
      <c r="B17" s="6" t="n">
        <f aca="false">-SUMIFS('Trial Balance'!$E:$E,'Trial Balance'!$A:$A,"Director's loan – Alvine Tchega")</f>
        <v>21462.34</v>
      </c>
    </row>
    <row r="18" customFormat="false" ht="15" hidden="false" customHeight="false" outlineLevel="0" collapsed="false">
      <c r="A18" s="5" t="s">
        <v>37</v>
      </c>
      <c r="B18" s="6" t="n">
        <f aca="false">-SUMIFS('Trial Balance'!$E:$E,'Trial Balance'!$A:$A,"Loan – Kakmeni")</f>
        <v>39000</v>
      </c>
    </row>
    <row r="19" customFormat="false" ht="15" hidden="false" customHeight="false" outlineLevel="0" collapsed="false">
      <c r="A19" s="5" t="s">
        <v>38</v>
      </c>
      <c r="B19" s="6" t="n">
        <f aca="false">-SUMIFS('Trial Balance'!$E:$E,'Trial Balance'!$A:$A,"Loan – The Kulture Bar")</f>
        <v>6400</v>
      </c>
    </row>
    <row r="20" customFormat="false" ht="15" hidden="false" customHeight="false" outlineLevel="0" collapsed="false">
      <c r="A20" s="5" t="s">
        <v>39</v>
      </c>
      <c r="B20" s="6" t="n">
        <f aca="false">-SUMIFS('Trial Balance'!$E:$E,'Trial Balance'!$A:$A,"Suspense – other bank account (not provided)")</f>
        <v>-0</v>
      </c>
    </row>
    <row r="21" customFormat="false" ht="15" hidden="false" customHeight="false" outlineLevel="0" collapsed="false">
      <c r="A21" s="2"/>
      <c r="C21" s="7" t="n">
        <f aca="false">-SUM(B17:B20)</f>
        <v>-66862.34</v>
      </c>
    </row>
    <row r="23" customFormat="false" ht="15" hidden="false" customHeight="false" outlineLevel="0" collapsed="false">
      <c r="A23" s="2" t="s">
        <v>40</v>
      </c>
      <c r="C23" s="7" t="n">
        <f aca="false">C15+C21</f>
        <v>-66732.39</v>
      </c>
    </row>
    <row r="25" customFormat="false" ht="15" hidden="false" customHeight="false" outlineLevel="0" collapsed="false">
      <c r="A25" s="2" t="s">
        <v>41</v>
      </c>
      <c r="C25" s="7" t="n">
        <f aca="false">C10+C23</f>
        <v>437711.55</v>
      </c>
    </row>
    <row r="27" customFormat="false" ht="15" hidden="false" customHeight="false" outlineLevel="0" collapsed="false">
      <c r="A27" s="2" t="s">
        <v>42</v>
      </c>
    </row>
    <row r="28" customFormat="false" ht="15" hidden="false" customHeight="false" outlineLevel="0" collapsed="false">
      <c r="A28" s="5" t="s">
        <v>43</v>
      </c>
      <c r="B28" s="6" t="n">
        <f aca="false">-SUMIFS('Trial Balance'!$E:$E,'Trial Balance'!$A:$A,"Mortgage – Together Commercial (Cairnsford)")</f>
        <v>311938.6</v>
      </c>
    </row>
    <row r="29" customFormat="false" ht="15" hidden="false" customHeight="false" outlineLevel="0" collapsed="false">
      <c r="A29" s="5" t="s">
        <v>44</v>
      </c>
      <c r="B29" s="6" t="n">
        <f aca="false">-SUMIFS('Trial Balance'!$E:$E,'Trial Balance'!$A:$A,"Mortgage – Together Commercial (Strensall)")</f>
        <v>133528</v>
      </c>
    </row>
    <row r="30" customFormat="false" ht="15" hidden="false" customHeight="false" outlineLevel="0" collapsed="false">
      <c r="A30" s="2"/>
      <c r="C30" s="7" t="n">
        <f aca="false">-SUM(B28:B29)</f>
        <v>-445466.6</v>
      </c>
    </row>
    <row r="32" customFormat="false" ht="15" hidden="false" customHeight="false" outlineLevel="0" collapsed="false">
      <c r="A32" s="2" t="s">
        <v>45</v>
      </c>
      <c r="C32" s="8" t="n">
        <f aca="false">C25+C30</f>
        <v>-7755.04999999999</v>
      </c>
    </row>
    <row r="34" customFormat="false" ht="15" hidden="false" customHeight="false" outlineLevel="0" collapsed="false">
      <c r="A34" s="2" t="s">
        <v>46</v>
      </c>
    </row>
    <row r="35" customFormat="false" ht="15" hidden="false" customHeight="false" outlineLevel="0" collapsed="false">
      <c r="A35" s="5" t="s">
        <v>47</v>
      </c>
      <c r="B35" s="6" t="n">
        <f aca="false">-SUMIFS('Trial Balance'!$E:$E,'Trial Balance'!$A:$A,"Share capital")</f>
        <v>-0</v>
      </c>
    </row>
    <row r="36" customFormat="false" ht="15" hidden="false" customHeight="false" outlineLevel="0" collapsed="false">
      <c r="A36" s="5" t="s">
        <v>48</v>
      </c>
      <c r="B36" s="6" t="n">
        <f aca="false">'P&amp;L'!C35</f>
        <v>-7755.05</v>
      </c>
    </row>
    <row r="37" customFormat="false" ht="15" hidden="false" customHeight="false" outlineLevel="0" collapsed="false">
      <c r="A37" s="2" t="s">
        <v>49</v>
      </c>
      <c r="C37" s="8" t="n">
        <f aca="false">SUM(B35:B36)</f>
        <v>-7755.05</v>
      </c>
    </row>
    <row r="39" customFormat="false" ht="15" hidden="false" customHeight="false" outlineLevel="0" collapsed="false">
      <c r="A39" s="3" t="s">
        <v>50</v>
      </c>
      <c r="C39" s="9" t="n">
        <f aca="false">ROUND(C32-C37,2)</f>
        <v>0</v>
      </c>
    </row>
    <row r="41" customFormat="false" ht="15" hidden="false" customHeight="false" outlineLevel="0" collapsed="false">
      <c r="A41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52</v>
      </c>
    </row>
    <row r="3" customFormat="false" ht="15" hidden="false" customHeight="false" outlineLevel="0" collapsed="false">
      <c r="A3" s="2" t="s">
        <v>53</v>
      </c>
    </row>
    <row r="4" customFormat="false" ht="15" hidden="false" customHeight="false" outlineLevel="0" collapsed="false">
      <c r="A4" s="5" t="s">
        <v>54</v>
      </c>
      <c r="B4" s="10" t="s">
        <v>55</v>
      </c>
      <c r="C4" s="3" t="s">
        <v>56</v>
      </c>
    </row>
    <row r="5" customFormat="false" ht="15" hidden="false" customHeight="false" outlineLevel="0" collapsed="false">
      <c r="A5" s="5" t="s">
        <v>57</v>
      </c>
      <c r="B5" s="11" t="n">
        <v>133385.92</v>
      </c>
      <c r="C5" s="3" t="s">
        <v>58</v>
      </c>
    </row>
    <row r="6" customFormat="false" ht="15" hidden="false" customHeight="false" outlineLevel="0" collapsed="false">
      <c r="A6" s="5" t="s">
        <v>59</v>
      </c>
      <c r="B6" s="11" t="n">
        <v>7712</v>
      </c>
      <c r="C6" s="3" t="s">
        <v>60</v>
      </c>
    </row>
    <row r="7" customFormat="false" ht="15" hidden="false" customHeight="false" outlineLevel="0" collapsed="false">
      <c r="A7" s="5" t="s">
        <v>61</v>
      </c>
      <c r="B7" s="11" t="n">
        <v>1511.47</v>
      </c>
      <c r="C7" s="3" t="s">
        <v>62</v>
      </c>
    </row>
    <row r="8" customFormat="false" ht="15" hidden="false" customHeight="false" outlineLevel="0" collapsed="false">
      <c r="A8" s="5" t="s">
        <v>63</v>
      </c>
      <c r="B8" s="11" t="n">
        <v>0</v>
      </c>
      <c r="C8" s="3" t="s">
        <v>64</v>
      </c>
    </row>
    <row r="9" customFormat="false" ht="15" hidden="false" customHeight="false" outlineLevel="0" collapsed="false">
      <c r="A9" s="5" t="s">
        <v>65</v>
      </c>
      <c r="B9" s="11" t="n">
        <v>0</v>
      </c>
      <c r="C9" s="3" t="s">
        <v>66</v>
      </c>
    </row>
    <row r="10" customFormat="false" ht="15" hidden="false" customHeight="false" outlineLevel="0" collapsed="false">
      <c r="A10" s="5" t="s">
        <v>67</v>
      </c>
      <c r="B10" s="10" t="s">
        <v>68</v>
      </c>
      <c r="C10" s="3" t="s">
        <v>69</v>
      </c>
    </row>
    <row r="12" customFormat="false" ht="15" hidden="false" customHeight="false" outlineLevel="0" collapsed="false">
      <c r="A12" s="2" t="s">
        <v>70</v>
      </c>
    </row>
    <row r="13" customFormat="false" ht="15" hidden="false" customHeight="false" outlineLevel="0" collapsed="false">
      <c r="A13" s="5" t="s">
        <v>71</v>
      </c>
    </row>
    <row r="14" customFormat="false" ht="15" hidden="false" customHeight="false" outlineLevel="0" collapsed="false">
      <c r="A14" s="5" t="s">
        <v>72</v>
      </c>
    </row>
    <row r="15" customFormat="false" ht="15" hidden="false" customHeight="false" outlineLevel="0" collapsed="false">
      <c r="A15" s="5" t="s">
        <v>73</v>
      </c>
    </row>
    <row r="16" customFormat="false" ht="15" hidden="false" customHeight="false" outlineLevel="0" collapsed="false">
      <c r="A16" s="5" t="s">
        <v>74</v>
      </c>
    </row>
    <row r="18" customFormat="false" ht="15" hidden="false" customHeight="false" outlineLevel="0" collapsed="false">
      <c r="A18" s="2" t="s">
        <v>75</v>
      </c>
    </row>
    <row r="19" customFormat="false" ht="30" hidden="false" customHeight="true" outlineLevel="0" collapsed="false">
      <c r="A19" s="12" t="s">
        <v>76</v>
      </c>
      <c r="B19" s="12"/>
      <c r="C19" s="12"/>
    </row>
    <row r="20" customFormat="false" ht="30" hidden="false" customHeight="true" outlineLevel="0" collapsed="false">
      <c r="A20" s="12" t="s">
        <v>77</v>
      </c>
      <c r="B20" s="12"/>
      <c r="C20" s="12"/>
    </row>
    <row r="21" customFormat="false" ht="30" hidden="false" customHeight="true" outlineLevel="0" collapsed="false">
      <c r="A21" s="12" t="s">
        <v>78</v>
      </c>
      <c r="B21" s="12"/>
      <c r="C21" s="12"/>
    </row>
    <row r="22" customFormat="false" ht="30" hidden="false" customHeight="true" outlineLevel="0" collapsed="false">
      <c r="A22" s="12" t="s">
        <v>79</v>
      </c>
      <c r="B22" s="12"/>
      <c r="C22" s="12"/>
    </row>
    <row r="23" customFormat="false" ht="30" hidden="false" customHeight="true" outlineLevel="0" collapsed="false">
      <c r="A23" s="12" t="s">
        <v>80</v>
      </c>
      <c r="B23" s="12"/>
      <c r="C23" s="12"/>
    </row>
    <row r="24" customFormat="false" ht="30" hidden="false" customHeight="true" outlineLevel="0" collapsed="false">
      <c r="A24" s="12" t="s">
        <v>81</v>
      </c>
      <c r="B24" s="12"/>
      <c r="C24" s="12"/>
    </row>
    <row r="25" customFormat="false" ht="30" hidden="false" customHeight="true" outlineLevel="0" collapsed="false">
      <c r="A25" s="12" t="s">
        <v>82</v>
      </c>
      <c r="B25" s="12"/>
      <c r="C25" s="12"/>
    </row>
    <row r="26" customFormat="false" ht="30" hidden="false" customHeight="true" outlineLevel="0" collapsed="false">
      <c r="A26" s="12" t="s">
        <v>83</v>
      </c>
      <c r="B26" s="12"/>
      <c r="C26" s="12"/>
    </row>
    <row r="27" customFormat="false" ht="30" hidden="false" customHeight="true" outlineLevel="0" collapsed="false">
      <c r="A27" s="12" t="s">
        <v>84</v>
      </c>
      <c r="B27" s="12"/>
      <c r="C27" s="12"/>
    </row>
    <row r="28" customFormat="false" ht="30" hidden="false" customHeight="true" outlineLevel="0" collapsed="false">
      <c r="A28" s="12" t="s">
        <v>85</v>
      </c>
      <c r="B28" s="12"/>
      <c r="C28" s="12"/>
    </row>
    <row r="29" customFormat="false" ht="30" hidden="false" customHeight="true" outlineLevel="0" collapsed="false">
      <c r="A29" s="12" t="s">
        <v>86</v>
      </c>
      <c r="B29" s="12"/>
      <c r="C29" s="12"/>
    </row>
    <row r="30" customFormat="false" ht="30" hidden="false" customHeight="true" outlineLevel="0" collapsed="false">
      <c r="A30" s="12" t="s">
        <v>87</v>
      </c>
      <c r="B30" s="12"/>
      <c r="C30" s="12"/>
    </row>
    <row r="31" customFormat="false" ht="30" hidden="false" customHeight="true" outlineLevel="0" collapsed="false">
      <c r="A31" s="12" t="s">
        <v>88</v>
      </c>
      <c r="B31" s="12"/>
      <c r="C31" s="12"/>
    </row>
  </sheetData>
  <mergeCells count="13"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</mergeCells>
  <dataValidations count="2">
    <dataValidation allowBlank="false" errorStyle="stop" operator="between" showDropDown="false" showErrorMessage="false" showInputMessage="false" sqref="B4" type="list">
      <formula1>"Yes,No"</formula1>
      <formula2>0</formula2>
    </dataValidation>
    <dataValidation allowBlank="false" errorStyle="stop" operator="between" showDropDown="false" showErrorMessage="false" showInputMessage="false" sqref="B10" type="list">
      <formula1>"Asset,Repairs"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"/>
    <col collapsed="false" customWidth="true" hidden="false" outlineLevel="0" max="5" min="3" style="0" width="16"/>
  </cols>
  <sheetData>
    <row r="1" customFormat="false" ht="15" hidden="false" customHeight="false" outlineLevel="0" collapsed="false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</row>
    <row r="2" customFormat="false" ht="15" hidden="false" customHeight="false" outlineLevel="0" collapsed="false">
      <c r="A2" s="5" t="s">
        <v>94</v>
      </c>
      <c r="B2" s="5" t="s">
        <v>68</v>
      </c>
      <c r="C2" s="6" t="n">
        <f aca="false">IF(E2&gt;0,E2,0)</f>
        <v>499943.94</v>
      </c>
      <c r="D2" s="6" t="n">
        <f aca="false">IF(E2&lt;0,-E2,0)</f>
        <v>0</v>
      </c>
      <c r="E2" s="6" t="n">
        <f aca="false">SUMIFS(Journals!$E:$E,Journals!$D:$D,$A2)-SUMIFS(Journals!$F:$F,Journals!$D:$D,$A2)</f>
        <v>499943.94</v>
      </c>
    </row>
    <row r="3" customFormat="false" ht="15" hidden="false" customHeight="false" outlineLevel="0" collapsed="false">
      <c r="A3" s="5" t="s">
        <v>95</v>
      </c>
      <c r="B3" s="5" t="s">
        <v>68</v>
      </c>
      <c r="C3" s="6" t="n">
        <f aca="false">IF(E3&gt;0,E3,0)</f>
        <v>0</v>
      </c>
      <c r="D3" s="6" t="n">
        <f aca="false">IF(E3&lt;0,-E3,0)</f>
        <v>0</v>
      </c>
      <c r="E3" s="6" t="n">
        <f aca="false">SUMIFS(Journals!$E:$E,Journals!$D:$D,$A3)-SUMIFS(Journals!$F:$F,Journals!$D:$D,$A3)</f>
        <v>0</v>
      </c>
    </row>
    <row r="4" customFormat="false" ht="15" hidden="false" customHeight="false" outlineLevel="0" collapsed="false">
      <c r="A4" s="5" t="s">
        <v>96</v>
      </c>
      <c r="B4" s="5" t="s">
        <v>68</v>
      </c>
      <c r="C4" s="6" t="n">
        <f aca="false">IF(E4&gt;0,E4,0)</f>
        <v>4500</v>
      </c>
      <c r="D4" s="6" t="n">
        <f aca="false">IF(E4&lt;0,-E4,0)</f>
        <v>0</v>
      </c>
      <c r="E4" s="6" t="n">
        <f aca="false">SUMIFS(Journals!$E:$E,Journals!$D:$D,$A4)-SUMIFS(Journals!$F:$F,Journals!$D:$D,$A4)</f>
        <v>4500</v>
      </c>
    </row>
    <row r="5" customFormat="false" ht="15" hidden="false" customHeight="false" outlineLevel="0" collapsed="false">
      <c r="A5" s="5" t="s">
        <v>33</v>
      </c>
      <c r="B5" s="5" t="s">
        <v>68</v>
      </c>
      <c r="C5" s="6" t="n">
        <f aca="false">IF(E5&gt;0,E5,0)</f>
        <v>129.950000000001</v>
      </c>
      <c r="D5" s="6" t="n">
        <f aca="false">IF(E5&lt;0,-E5,0)</f>
        <v>0</v>
      </c>
      <c r="E5" s="6" t="n">
        <f aca="false">SUMIFS(Journals!$E:$E,Journals!$D:$D,$A5)-SUMIFS(Journals!$F:$F,Journals!$D:$D,$A5)</f>
        <v>129.950000000001</v>
      </c>
    </row>
    <row r="6" customFormat="false" ht="15" hidden="false" customHeight="false" outlineLevel="0" collapsed="false">
      <c r="A6" s="5" t="s">
        <v>97</v>
      </c>
      <c r="B6" s="5" t="s">
        <v>68</v>
      </c>
      <c r="C6" s="6" t="n">
        <f aca="false">IF(E6&gt;0,E6,0)</f>
        <v>0</v>
      </c>
      <c r="D6" s="6" t="n">
        <f aca="false">IF(E6&lt;0,-E6,0)</f>
        <v>0</v>
      </c>
      <c r="E6" s="6" t="n">
        <f aca="false">SUMIFS(Journals!$E:$E,Journals!$D:$D,$A6)-SUMIFS(Journals!$F:$F,Journals!$D:$D,$A6)</f>
        <v>0</v>
      </c>
    </row>
    <row r="7" customFormat="false" ht="15" hidden="false" customHeight="false" outlineLevel="0" collapsed="false">
      <c r="A7" s="5" t="s">
        <v>98</v>
      </c>
      <c r="B7" s="5" t="s">
        <v>99</v>
      </c>
      <c r="C7" s="6" t="n">
        <f aca="false">IF(E7&gt;0,E7,0)</f>
        <v>0</v>
      </c>
      <c r="D7" s="6" t="n">
        <f aca="false">IF(E7&lt;0,-E7,0)</f>
        <v>311938.6</v>
      </c>
      <c r="E7" s="6" t="n">
        <f aca="false">SUMIFS(Journals!$E:$E,Journals!$D:$D,$A7)-SUMIFS(Journals!$F:$F,Journals!$D:$D,$A7)</f>
        <v>-311938.6</v>
      </c>
    </row>
    <row r="8" customFormat="false" ht="15" hidden="false" customHeight="false" outlineLevel="0" collapsed="false">
      <c r="A8" s="5" t="s">
        <v>100</v>
      </c>
      <c r="B8" s="5" t="s">
        <v>99</v>
      </c>
      <c r="C8" s="6" t="n">
        <f aca="false">IF(E8&gt;0,E8,0)</f>
        <v>0</v>
      </c>
      <c r="D8" s="6" t="n">
        <f aca="false">IF(E8&lt;0,-E8,0)</f>
        <v>133528</v>
      </c>
      <c r="E8" s="6" t="n">
        <f aca="false">SUMIFS(Journals!$E:$E,Journals!$D:$D,$A8)-SUMIFS(Journals!$F:$F,Journals!$D:$D,$A8)</f>
        <v>-133528</v>
      </c>
    </row>
    <row r="9" customFormat="false" ht="15" hidden="false" customHeight="false" outlineLevel="0" collapsed="false">
      <c r="A9" s="5" t="s">
        <v>101</v>
      </c>
      <c r="B9" s="5" t="s">
        <v>99</v>
      </c>
      <c r="C9" s="6" t="n">
        <f aca="false">IF(E9&gt;0,E9,0)</f>
        <v>0</v>
      </c>
      <c r="D9" s="6" t="n">
        <f aca="false">IF(E9&lt;0,-E9,0)</f>
        <v>21462.34</v>
      </c>
      <c r="E9" s="6" t="n">
        <f aca="false">SUMIFS(Journals!$E:$E,Journals!$D:$D,$A9)-SUMIFS(Journals!$F:$F,Journals!$D:$D,$A9)</f>
        <v>-21462.34</v>
      </c>
    </row>
    <row r="10" customFormat="false" ht="15" hidden="false" customHeight="false" outlineLevel="0" collapsed="false">
      <c r="A10" s="5" t="s">
        <v>37</v>
      </c>
      <c r="B10" s="5" t="s">
        <v>99</v>
      </c>
      <c r="C10" s="6" t="n">
        <f aca="false">IF(E10&gt;0,E10,0)</f>
        <v>0</v>
      </c>
      <c r="D10" s="6" t="n">
        <f aca="false">IF(E10&lt;0,-E10,0)</f>
        <v>39000</v>
      </c>
      <c r="E10" s="6" t="n">
        <f aca="false">SUMIFS(Journals!$E:$E,Journals!$D:$D,$A10)-SUMIFS(Journals!$F:$F,Journals!$D:$D,$A10)</f>
        <v>-39000</v>
      </c>
    </row>
    <row r="11" customFormat="false" ht="15" hidden="false" customHeight="false" outlineLevel="0" collapsed="false">
      <c r="A11" s="5" t="s">
        <v>38</v>
      </c>
      <c r="B11" s="5" t="s">
        <v>99</v>
      </c>
      <c r="C11" s="6" t="n">
        <f aca="false">IF(E11&gt;0,E11,0)</f>
        <v>0</v>
      </c>
      <c r="D11" s="6" t="n">
        <f aca="false">IF(E11&lt;0,-E11,0)</f>
        <v>6400</v>
      </c>
      <c r="E11" s="6" t="n">
        <f aca="false">SUMIFS(Journals!$E:$E,Journals!$D:$D,$A11)-SUMIFS(Journals!$F:$F,Journals!$D:$D,$A11)</f>
        <v>-6400</v>
      </c>
    </row>
    <row r="12" customFormat="false" ht="15" hidden="false" customHeight="false" outlineLevel="0" collapsed="false">
      <c r="A12" s="5" t="s">
        <v>39</v>
      </c>
      <c r="B12" s="5" t="s">
        <v>99</v>
      </c>
      <c r="C12" s="6" t="n">
        <f aca="false">IF(E12&gt;0,E12,0)</f>
        <v>0</v>
      </c>
      <c r="D12" s="6" t="n">
        <f aca="false">IF(E12&lt;0,-E12,0)</f>
        <v>0</v>
      </c>
      <c r="E12" s="6" t="n">
        <f aca="false">SUMIFS(Journals!$E:$E,Journals!$D:$D,$A12)-SUMIFS(Journals!$F:$F,Journals!$D:$D,$A12)</f>
        <v>0</v>
      </c>
    </row>
    <row r="13" customFormat="false" ht="15" hidden="false" customHeight="false" outlineLevel="0" collapsed="false">
      <c r="A13" s="5" t="s">
        <v>102</v>
      </c>
      <c r="B13" s="5" t="s">
        <v>103</v>
      </c>
      <c r="C13" s="6" t="n">
        <f aca="false">IF(E13&gt;0,E13,0)</f>
        <v>0</v>
      </c>
      <c r="D13" s="6" t="n">
        <f aca="false">IF(E13&lt;0,-E13,0)</f>
        <v>0</v>
      </c>
      <c r="E13" s="6" t="n">
        <f aca="false">SUMIFS(Journals!$E:$E,Journals!$D:$D,$A13)-SUMIFS(Journals!$F:$F,Journals!$D:$D,$A13)</f>
        <v>0</v>
      </c>
    </row>
    <row r="14" customFormat="false" ht="15" hidden="false" customHeight="false" outlineLevel="0" collapsed="false">
      <c r="A14" s="5" t="s">
        <v>4</v>
      </c>
      <c r="B14" s="5" t="s">
        <v>104</v>
      </c>
      <c r="C14" s="6" t="n">
        <f aca="false">IF(E14&gt;0,E14,0)</f>
        <v>0</v>
      </c>
      <c r="D14" s="6" t="n">
        <f aca="false">IF(E14&lt;0,-E14,0)</f>
        <v>2200</v>
      </c>
      <c r="E14" s="6" t="n">
        <f aca="false">SUMIFS(Journals!$E:$E,Journals!$D:$D,$A14)-SUMIFS(Journals!$F:$F,Journals!$D:$D,$A14)</f>
        <v>-2200</v>
      </c>
    </row>
    <row r="15" customFormat="false" ht="15" hidden="false" customHeight="false" outlineLevel="0" collapsed="false">
      <c r="A15" s="5" t="s">
        <v>105</v>
      </c>
      <c r="B15" s="5" t="s">
        <v>104</v>
      </c>
      <c r="C15" s="6" t="n">
        <f aca="false">IF(E15&gt;0,E15,0)</f>
        <v>0</v>
      </c>
      <c r="D15" s="6" t="n">
        <f aca="false">IF(E15&lt;0,-E15,0)</f>
        <v>7132</v>
      </c>
      <c r="E15" s="6" t="n">
        <f aca="false">SUMIFS(Journals!$E:$E,Journals!$D:$D,$A15)-SUMIFS(Journals!$F:$F,Journals!$D:$D,$A15)</f>
        <v>-7132</v>
      </c>
    </row>
    <row r="16" customFormat="false" ht="15" hidden="false" customHeight="false" outlineLevel="0" collapsed="false">
      <c r="A16" s="5" t="s">
        <v>5</v>
      </c>
      <c r="B16" s="5" t="s">
        <v>104</v>
      </c>
      <c r="C16" s="6" t="n">
        <f aca="false">IF(E16&gt;0,E16,0)</f>
        <v>0</v>
      </c>
      <c r="D16" s="6" t="n">
        <f aca="false">IF(E16&lt;0,-E16,0)</f>
        <v>4000</v>
      </c>
      <c r="E16" s="6" t="n">
        <f aca="false">SUMIFS(Journals!$E:$E,Journals!$D:$D,$A16)-SUMIFS(Journals!$F:$F,Journals!$D:$D,$A16)</f>
        <v>-4000</v>
      </c>
    </row>
    <row r="17" customFormat="false" ht="15" hidden="false" customHeight="false" outlineLevel="0" collapsed="false">
      <c r="A17" s="5" t="s">
        <v>106</v>
      </c>
      <c r="B17" s="5" t="s">
        <v>107</v>
      </c>
      <c r="C17" s="6" t="n">
        <f aca="false">IF(E17&gt;0,E17,0)</f>
        <v>0</v>
      </c>
      <c r="D17" s="6" t="n">
        <f aca="false">IF(E17&lt;0,-E17,0)</f>
        <v>0</v>
      </c>
      <c r="E17" s="6" t="n">
        <f aca="false">SUMIFS(Journals!$E:$E,Journals!$D:$D,$A17)-SUMIFS(Journals!$F:$F,Journals!$D:$D,$A17)</f>
        <v>0</v>
      </c>
    </row>
    <row r="18" customFormat="false" ht="15" hidden="false" customHeight="false" outlineLevel="0" collapsed="false">
      <c r="A18" s="5" t="s">
        <v>9</v>
      </c>
      <c r="B18" s="5" t="s">
        <v>107</v>
      </c>
      <c r="C18" s="6" t="n">
        <f aca="false">IF(E18&gt;0,E18,0)</f>
        <v>2200</v>
      </c>
      <c r="D18" s="6" t="n">
        <f aca="false">IF(E18&lt;0,-E18,0)</f>
        <v>0</v>
      </c>
      <c r="E18" s="6" t="n">
        <f aca="false">SUMIFS(Journals!$E:$E,Journals!$D:$D,$A18)-SUMIFS(Journals!$F:$F,Journals!$D:$D,$A18)</f>
        <v>2200</v>
      </c>
    </row>
    <row r="19" customFormat="false" ht="15" hidden="false" customHeight="false" outlineLevel="0" collapsed="false">
      <c r="A19" s="5" t="s">
        <v>108</v>
      </c>
      <c r="B19" s="5" t="s">
        <v>107</v>
      </c>
      <c r="C19" s="6" t="n">
        <f aca="false">IF(E19&gt;0,E19,0)</f>
        <v>0</v>
      </c>
      <c r="D19" s="6" t="n">
        <f aca="false">IF(E19&lt;0,-E19,0)</f>
        <v>0</v>
      </c>
      <c r="E19" s="6" t="n">
        <f aca="false">SUMIFS(Journals!$E:$E,Journals!$D:$D,$A19)-SUMIFS(Journals!$F:$F,Journals!$D:$D,$A19)</f>
        <v>0</v>
      </c>
    </row>
    <row r="20" customFormat="false" ht="15" hidden="false" customHeight="false" outlineLevel="0" collapsed="false">
      <c r="A20" s="5" t="s">
        <v>15</v>
      </c>
      <c r="B20" s="5" t="s">
        <v>107</v>
      </c>
      <c r="C20" s="6" t="n">
        <f aca="false">IF(E20&gt;0,E20,0)</f>
        <v>0</v>
      </c>
      <c r="D20" s="6" t="n">
        <f aca="false">IF(E20&lt;0,-E20,0)</f>
        <v>0</v>
      </c>
      <c r="E20" s="6" t="n">
        <f aca="false">SUMIFS(Journals!$E:$E,Journals!$D:$D,$A20)-SUMIFS(Journals!$F:$F,Journals!$D:$D,$A20)</f>
        <v>0</v>
      </c>
    </row>
    <row r="21" customFormat="false" ht="15" hidden="false" customHeight="false" outlineLevel="0" collapsed="false">
      <c r="A21" s="5" t="s">
        <v>16</v>
      </c>
      <c r="B21" s="5" t="s">
        <v>107</v>
      </c>
      <c r="C21" s="6" t="n">
        <f aca="false">IF(E21&gt;0,E21,0)</f>
        <v>0</v>
      </c>
      <c r="D21" s="6" t="n">
        <f aca="false">IF(E21&lt;0,-E21,0)</f>
        <v>0</v>
      </c>
      <c r="E21" s="6" t="n">
        <f aca="false">SUMIFS(Journals!$E:$E,Journals!$D:$D,$A21)-SUMIFS(Journals!$F:$F,Journals!$D:$D,$A21)</f>
        <v>0</v>
      </c>
    </row>
    <row r="22" customFormat="false" ht="15" hidden="false" customHeight="false" outlineLevel="0" collapsed="false">
      <c r="A22" s="5" t="s">
        <v>109</v>
      </c>
      <c r="B22" s="5" t="s">
        <v>107</v>
      </c>
      <c r="C22" s="6" t="n">
        <f aca="false">IF(E22&gt;0,E22,0)</f>
        <v>16502.05</v>
      </c>
      <c r="D22" s="6" t="n">
        <f aca="false">IF(E22&lt;0,-E22,0)</f>
        <v>0</v>
      </c>
      <c r="E22" s="6" t="n">
        <f aca="false">SUMIFS(Journals!$E:$E,Journals!$D:$D,$A22)-SUMIFS(Journals!$F:$F,Journals!$D:$D,$A22)</f>
        <v>16502.05</v>
      </c>
    </row>
    <row r="23" customFormat="false" ht="15" hidden="false" customHeight="false" outlineLevel="0" collapsed="false">
      <c r="A23" s="5" t="s">
        <v>21</v>
      </c>
      <c r="B23" s="5" t="s">
        <v>107</v>
      </c>
      <c r="C23" s="6" t="n">
        <f aca="false">IF(E23&gt;0,E23,0)</f>
        <v>2385</v>
      </c>
      <c r="D23" s="6" t="n">
        <f aca="false">IF(E23&lt;0,-E23,0)</f>
        <v>0</v>
      </c>
      <c r="E23" s="6" t="n">
        <f aca="false">SUMIFS(Journals!$E:$E,Journals!$D:$D,$A23)-SUMIFS(Journals!$F:$F,Journals!$D:$D,$A23)</f>
        <v>2385</v>
      </c>
    </row>
    <row r="24" customFormat="false" ht="15" hidden="false" customHeight="false" outlineLevel="0" collapsed="false">
      <c r="A24" s="2" t="s">
        <v>110</v>
      </c>
      <c r="C24" s="14" t="n">
        <f aca="false">SUM(C2:C23)</f>
        <v>525660.94</v>
      </c>
      <c r="D24" s="14" t="n">
        <f aca="false">SUM(D2:D23)</f>
        <v>525660.94</v>
      </c>
      <c r="E24" s="14" t="n">
        <f aca="false">SUM(E2:E23)</f>
        <v>2.5465851649642E-011</v>
      </c>
    </row>
    <row r="25" customFormat="false" ht="15" hidden="false" customHeight="false" outlineLevel="0" collapsed="false">
      <c r="A25" s="3" t="s">
        <v>111</v>
      </c>
      <c r="E25" s="15" t="n">
        <f aca="false">ROUND(SUM(Journals!E2:E35)-SUM(Journals!F2:F35)-E24,2)</f>
        <v>-0</v>
      </c>
    </row>
    <row r="26" customFormat="false" ht="15" hidden="false" customHeight="false" outlineLevel="0" collapsed="false">
      <c r="A26" s="3" t="s">
        <v>112</v>
      </c>
      <c r="E26" s="15" t="n">
        <f aca="false">ROUND(E5-'Monzo Reconciliation'!F10,2)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6" min="5" style="0" width="15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3" t="s">
        <v>113</v>
      </c>
      <c r="B1" s="13" t="s">
        <v>114</v>
      </c>
      <c r="C1" s="13" t="s">
        <v>115</v>
      </c>
      <c r="D1" s="13" t="s">
        <v>89</v>
      </c>
      <c r="E1" s="13" t="s">
        <v>91</v>
      </c>
      <c r="F1" s="13" t="s">
        <v>92</v>
      </c>
      <c r="G1" s="13" t="s">
        <v>116</v>
      </c>
    </row>
    <row r="2" customFormat="false" ht="15" hidden="false" customHeight="false" outlineLevel="0" collapsed="false">
      <c r="A2" s="5" t="n">
        <v>1</v>
      </c>
      <c r="B2" s="5" t="s">
        <v>117</v>
      </c>
      <c r="C2" s="5" t="s">
        <v>118</v>
      </c>
      <c r="D2" s="5" t="s">
        <v>94</v>
      </c>
      <c r="E2" s="16" t="n">
        <f aca="false">SUMIFS('Completion Lines'!$F:$F,'Completion Lines'!$G:$G,"Property cost – purchase price")+SUMIFS('Completion Lines'!$F:$F,'Completion Lines'!$G:$G,"Property cost – Stamp Duty (SDLT)")+SUMIFS('Completion Lines'!$F:$F,'Completion Lines'!$G:$G,"Property cost – legal &amp; acquisition fees")</f>
        <v>499943.94</v>
      </c>
      <c r="F2" s="6" t="n">
        <v>0</v>
      </c>
      <c r="G2" s="5" t="s">
        <v>119</v>
      </c>
    </row>
    <row r="3" customFormat="false" ht="15" hidden="false" customHeight="false" outlineLevel="0" collapsed="false">
      <c r="A3" s="5" t="n">
        <v>2</v>
      </c>
      <c r="B3" s="5" t="s">
        <v>117</v>
      </c>
      <c r="C3" s="5" t="s">
        <v>120</v>
      </c>
      <c r="D3" s="5" t="s">
        <v>21</v>
      </c>
      <c r="E3" s="16" t="n">
        <f aca="false">SUMIFS('Completion Lines'!$F:$F,'Completion Lines'!$G:$G,"Finance cost – Cairnsford mortgage")</f>
        <v>715</v>
      </c>
      <c r="F3" s="6" t="n">
        <v>0</v>
      </c>
      <c r="G3" s="5" t="s">
        <v>119</v>
      </c>
    </row>
    <row r="4" customFormat="false" ht="15" hidden="false" customHeight="false" outlineLevel="0" collapsed="false">
      <c r="A4" s="5" t="n">
        <v>3</v>
      </c>
      <c r="B4" s="5" t="s">
        <v>117</v>
      </c>
      <c r="C4" s="5" t="s">
        <v>121</v>
      </c>
      <c r="D4" s="5" t="s">
        <v>21</v>
      </c>
      <c r="E4" s="16" t="n">
        <f aca="false">SUMIFS('Completion Lines'!$F:$F,'Completion Lines'!$G:$G,"Finance cost – Strensall remortgage")</f>
        <v>1670</v>
      </c>
      <c r="F4" s="6" t="n">
        <v>0</v>
      </c>
      <c r="G4" s="5" t="s">
        <v>119</v>
      </c>
    </row>
    <row r="5" customFormat="false" ht="15" hidden="false" customHeight="false" outlineLevel="0" collapsed="false">
      <c r="A5" s="5" t="n">
        <v>4</v>
      </c>
      <c r="B5" s="5" t="s">
        <v>117</v>
      </c>
      <c r="C5" s="5" t="s">
        <v>122</v>
      </c>
      <c r="D5" s="5" t="s">
        <v>98</v>
      </c>
      <c r="E5" s="6" t="n">
        <v>0</v>
      </c>
      <c r="F5" s="16" t="n">
        <f aca="false">SUMIFS('Completion Lines'!$C:$C,'Completion Lines'!$G:$G,"Funding – Together Commercial mortgage (net)")</f>
        <v>311938.6</v>
      </c>
      <c r="G5" s="5" t="s">
        <v>119</v>
      </c>
    </row>
    <row r="6" customFormat="false" ht="15" hidden="false" customHeight="false" outlineLevel="0" collapsed="false">
      <c r="A6" s="5" t="n">
        <v>5</v>
      </c>
      <c r="B6" s="5" t="s">
        <v>117</v>
      </c>
      <c r="C6" s="5" t="s">
        <v>123</v>
      </c>
      <c r="D6" s="5" t="s">
        <v>100</v>
      </c>
      <c r="E6" s="6" t="n">
        <v>0</v>
      </c>
      <c r="F6" s="16" t="n">
        <f aca="false">SUMIFS('Completion Lines'!$C:$C,'Completion Lines'!$G:$G,"Funding – Strensall remortgage advance (net)")</f>
        <v>133528</v>
      </c>
      <c r="G6" s="5" t="s">
        <v>119</v>
      </c>
    </row>
    <row r="7" customFormat="false" ht="15" hidden="false" customHeight="false" outlineLevel="0" collapsed="false">
      <c r="A7" s="5" t="n">
        <v>6</v>
      </c>
      <c r="B7" s="5" t="s">
        <v>117</v>
      </c>
      <c r="C7" s="5" t="s">
        <v>124</v>
      </c>
      <c r="D7" s="5" t="s">
        <v>101</v>
      </c>
      <c r="E7" s="6" t="n">
        <v>0</v>
      </c>
      <c r="F7" s="16" t="n">
        <f aca="false">SUMIFS('Completion Lines'!$C:$C,'Completion Lines'!$G:$G,"Funding – Alvine Tchega")+SUMIFS('Completion Lines'!$C:$C,'Completion Lines'!$G:$G,"Funding – money on account")</f>
        <v>18862.34</v>
      </c>
      <c r="G7" s="5" t="s">
        <v>119</v>
      </c>
    </row>
    <row r="8" customFormat="false" ht="15" hidden="false" customHeight="false" outlineLevel="0" collapsed="false">
      <c r="A8" s="5" t="n">
        <v>7</v>
      </c>
      <c r="B8" s="5" t="s">
        <v>125</v>
      </c>
      <c r="C8" s="5" t="s">
        <v>126</v>
      </c>
      <c r="D8" s="5" t="s">
        <v>37</v>
      </c>
      <c r="E8" s="6" t="n">
        <v>0</v>
      </c>
      <c r="F8" s="16" t="n">
        <f aca="false">SUMIFS('Completion Lines'!$C:$C,'Completion Lines'!$G:$G,"Funding – Kakmeni")</f>
        <v>38000</v>
      </c>
      <c r="G8" s="5" t="s">
        <v>119</v>
      </c>
    </row>
    <row r="9" customFormat="false" ht="15" hidden="false" customHeight="false" outlineLevel="0" collapsed="false">
      <c r="A9" s="5" t="n">
        <v>8</v>
      </c>
      <c r="B9" s="5" t="s">
        <v>127</v>
      </c>
      <c r="C9" s="5" t="s">
        <v>128</v>
      </c>
      <c r="D9" s="5" t="s">
        <v>33</v>
      </c>
      <c r="E9" s="16" t="n">
        <f aca="false">SUMIFS('Monzo Transactions'!$J:$J,'Monzo Transactions'!$G:$G,"Rent received – Kakmeni")</f>
        <v>2200</v>
      </c>
      <c r="F9" s="6" t="n">
        <v>0</v>
      </c>
      <c r="G9" s="5" t="s">
        <v>129</v>
      </c>
    </row>
    <row r="10" customFormat="false" ht="15" hidden="false" customHeight="false" outlineLevel="0" collapsed="false">
      <c r="A10" s="5" t="n">
        <v>9</v>
      </c>
      <c r="B10" s="5" t="s">
        <v>127</v>
      </c>
      <c r="C10" s="5" t="s">
        <v>128</v>
      </c>
      <c r="D10" s="5" t="s">
        <v>4</v>
      </c>
      <c r="E10" s="6" t="n">
        <v>0</v>
      </c>
      <c r="F10" s="16" t="n">
        <f aca="false">SUMIFS('Monzo Transactions'!$J:$J,'Monzo Transactions'!$G:$G,"Rent received – Kakmeni")</f>
        <v>2200</v>
      </c>
      <c r="G10" s="5" t="s">
        <v>129</v>
      </c>
    </row>
    <row r="11" customFormat="false" ht="15" hidden="false" customHeight="false" outlineLevel="0" collapsed="false">
      <c r="A11" s="5" t="n">
        <v>10</v>
      </c>
      <c r="B11" s="5" t="s">
        <v>127</v>
      </c>
      <c r="C11" s="5" t="s">
        <v>130</v>
      </c>
      <c r="D11" s="5" t="s">
        <v>33</v>
      </c>
      <c r="E11" s="16" t="n">
        <f aca="false">SUMIFS('Monzo Transactions'!$J:$J,'Monzo Transactions'!$G:$G,"Other income received")</f>
        <v>7132</v>
      </c>
      <c r="F11" s="6" t="n">
        <v>0</v>
      </c>
      <c r="G11" s="5" t="s">
        <v>129</v>
      </c>
    </row>
    <row r="12" customFormat="false" ht="15" hidden="false" customHeight="false" outlineLevel="0" collapsed="false">
      <c r="A12" s="5" t="n">
        <v>11</v>
      </c>
      <c r="B12" s="5" t="s">
        <v>127</v>
      </c>
      <c r="C12" s="5" t="s">
        <v>130</v>
      </c>
      <c r="D12" s="5" t="s">
        <v>105</v>
      </c>
      <c r="E12" s="6" t="n">
        <v>0</v>
      </c>
      <c r="F12" s="16" t="n">
        <f aca="false">SUMIFS('Monzo Transactions'!$J:$J,'Monzo Transactions'!$G:$G,"Other income received")</f>
        <v>7132</v>
      </c>
      <c r="G12" s="5" t="s">
        <v>129</v>
      </c>
    </row>
    <row r="13" customFormat="false" ht="15" hidden="false" customHeight="false" outlineLevel="0" collapsed="false">
      <c r="A13" s="5" t="n">
        <v>12</v>
      </c>
      <c r="B13" s="5" t="s">
        <v>131</v>
      </c>
      <c r="C13" s="5" t="s">
        <v>132</v>
      </c>
      <c r="D13" s="5" t="s">
        <v>33</v>
      </c>
      <c r="E13" s="16" t="n">
        <f aca="false">SUMIFS('Monzo Transactions'!$J:$J,'Monzo Transactions'!$G:$G,"Building work income (Alino Ltd)")</f>
        <v>4000</v>
      </c>
      <c r="F13" s="6" t="n">
        <v>0</v>
      </c>
      <c r="G13" s="5" t="s">
        <v>129</v>
      </c>
    </row>
    <row r="14" customFormat="false" ht="15" hidden="false" customHeight="false" outlineLevel="0" collapsed="false">
      <c r="A14" s="5" t="n">
        <v>13</v>
      </c>
      <c r="B14" s="5" t="s">
        <v>131</v>
      </c>
      <c r="C14" s="5" t="s">
        <v>132</v>
      </c>
      <c r="D14" s="5" t="s">
        <v>5</v>
      </c>
      <c r="E14" s="6" t="n">
        <v>0</v>
      </c>
      <c r="F14" s="16" t="n">
        <f aca="false">SUMIFS('Monzo Transactions'!$J:$J,'Monzo Transactions'!$G:$G,"Building work income (Alino Ltd)")</f>
        <v>4000</v>
      </c>
      <c r="G14" s="5" t="s">
        <v>129</v>
      </c>
    </row>
    <row r="15" customFormat="false" ht="15" hidden="false" customHeight="false" outlineLevel="0" collapsed="false">
      <c r="A15" s="5" t="n">
        <v>14</v>
      </c>
      <c r="B15" s="5" t="s">
        <v>133</v>
      </c>
      <c r="C15" s="5" t="s">
        <v>134</v>
      </c>
      <c r="D15" s="5" t="s">
        <v>33</v>
      </c>
      <c r="E15" s="16" t="n">
        <f aca="false">SUMIFS('Monzo Transactions'!$J:$J,'Monzo Transactions'!$G:$G,"Loans received",'Monzo Transactions'!$D:$D,"THE KULTURE BAR AN")</f>
        <v>6400</v>
      </c>
      <c r="F15" s="6" t="n">
        <v>0</v>
      </c>
      <c r="G15" s="5" t="s">
        <v>129</v>
      </c>
    </row>
    <row r="16" customFormat="false" ht="15" hidden="false" customHeight="false" outlineLevel="0" collapsed="false">
      <c r="A16" s="5" t="n">
        <v>15</v>
      </c>
      <c r="B16" s="5" t="s">
        <v>133</v>
      </c>
      <c r="C16" s="5" t="s">
        <v>134</v>
      </c>
      <c r="D16" s="5" t="s">
        <v>38</v>
      </c>
      <c r="E16" s="6" t="n">
        <v>0</v>
      </c>
      <c r="F16" s="16" t="n">
        <f aca="false">SUMIFS('Monzo Transactions'!$J:$J,'Monzo Transactions'!$G:$G,"Loans received",'Monzo Transactions'!$D:$D,"THE KULTURE BAR AN")</f>
        <v>6400</v>
      </c>
      <c r="G16" s="5" t="s">
        <v>129</v>
      </c>
    </row>
    <row r="17" customFormat="false" ht="15" hidden="false" customHeight="false" outlineLevel="0" collapsed="false">
      <c r="A17" s="5" t="n">
        <v>16</v>
      </c>
      <c r="B17" s="5" t="s">
        <v>135</v>
      </c>
      <c r="C17" s="5" t="s">
        <v>136</v>
      </c>
      <c r="D17" s="5" t="s">
        <v>33</v>
      </c>
      <c r="E17" s="16" t="n">
        <f aca="false">SUMIFS('Monzo Transactions'!$J:$J,'Monzo Transactions'!$G:$G,"Loans received",'Monzo Transactions'!$D:$D,"KAKMENI J")</f>
        <v>1000</v>
      </c>
      <c r="F17" s="6" t="n">
        <v>0</v>
      </c>
      <c r="G17" s="5" t="s">
        <v>129</v>
      </c>
    </row>
    <row r="18" customFormat="false" ht="15" hidden="false" customHeight="false" outlineLevel="0" collapsed="false">
      <c r="A18" s="5" t="n">
        <v>17</v>
      </c>
      <c r="B18" s="5" t="s">
        <v>135</v>
      </c>
      <c r="C18" s="5" t="s">
        <v>136</v>
      </c>
      <c r="D18" s="5" t="s">
        <v>37</v>
      </c>
      <c r="E18" s="6" t="n">
        <v>0</v>
      </c>
      <c r="F18" s="16" t="n">
        <f aca="false">SUMIFS('Monzo Transactions'!$J:$J,'Monzo Transactions'!$G:$G,"Loans received",'Monzo Transactions'!$D:$D,"KAKMENI J")</f>
        <v>1000</v>
      </c>
      <c r="G18" s="5" t="s">
        <v>129</v>
      </c>
    </row>
    <row r="19" customFormat="false" ht="15" hidden="false" customHeight="false" outlineLevel="0" collapsed="false">
      <c r="A19" s="5" t="n">
        <v>18</v>
      </c>
      <c r="B19" s="5" t="s">
        <v>137</v>
      </c>
      <c r="C19" s="5" t="s">
        <v>138</v>
      </c>
      <c r="D19" s="5" t="s">
        <v>33</v>
      </c>
      <c r="E19" s="16" t="n">
        <f aca="false">SUMIFS('Monzo Transactions'!$J:$J,'Monzo Transactions'!$G:$G,"Director transfers (Alvine Tchega)")</f>
        <v>2600</v>
      </c>
      <c r="F19" s="6" t="n">
        <v>0</v>
      </c>
      <c r="G19" s="5" t="s">
        <v>129</v>
      </c>
    </row>
    <row r="20" customFormat="false" ht="15" hidden="false" customHeight="false" outlineLevel="0" collapsed="false">
      <c r="A20" s="5" t="n">
        <v>19</v>
      </c>
      <c r="B20" s="5" t="s">
        <v>137</v>
      </c>
      <c r="C20" s="5" t="s">
        <v>138</v>
      </c>
      <c r="D20" s="5" t="s">
        <v>101</v>
      </c>
      <c r="E20" s="6" t="n">
        <v>0</v>
      </c>
      <c r="F20" s="16" t="n">
        <f aca="false">SUMIFS('Monzo Transactions'!$J:$J,'Monzo Transactions'!$G:$G,"Director transfers (Alvine Tchega)")</f>
        <v>2600</v>
      </c>
      <c r="G20" s="5" t="s">
        <v>129</v>
      </c>
    </row>
    <row r="21" customFormat="false" ht="15" hidden="false" customHeight="false" outlineLevel="0" collapsed="false">
      <c r="A21" s="5" t="n">
        <v>20</v>
      </c>
      <c r="B21" s="5" t="s">
        <v>139</v>
      </c>
      <c r="C21" s="5" t="s">
        <v>140</v>
      </c>
      <c r="D21" s="5" t="s">
        <v>96</v>
      </c>
      <c r="E21" s="16" t="n">
        <f aca="false">IF(Notes!$B$10="Asset",-SUMIFS('Monzo Transactions'!$J:$J,'Monzo Transactions'!$G:$G,"Building materials (Seyat Can)"),0)</f>
        <v>4500</v>
      </c>
      <c r="F21" s="6" t="n">
        <v>0</v>
      </c>
      <c r="G21" s="5" t="s">
        <v>129</v>
      </c>
    </row>
    <row r="22" customFormat="false" ht="15" hidden="false" customHeight="false" outlineLevel="0" collapsed="false">
      <c r="A22" s="5" t="n">
        <v>21</v>
      </c>
      <c r="B22" s="5" t="s">
        <v>139</v>
      </c>
      <c r="C22" s="5" t="s">
        <v>141</v>
      </c>
      <c r="D22" s="5" t="s">
        <v>106</v>
      </c>
      <c r="E22" s="16" t="n">
        <f aca="false">IF(Notes!$B$10="Repairs",-SUMIFS('Monzo Transactions'!$J:$J,'Monzo Transactions'!$G:$G,"Building materials (Seyat Can)"),0)</f>
        <v>0</v>
      </c>
      <c r="F22" s="6" t="n">
        <v>0</v>
      </c>
      <c r="G22" s="5" t="s">
        <v>129</v>
      </c>
    </row>
    <row r="23" customFormat="false" ht="15" hidden="false" customHeight="false" outlineLevel="0" collapsed="false">
      <c r="A23" s="5" t="n">
        <v>22</v>
      </c>
      <c r="B23" s="5" t="s">
        <v>139</v>
      </c>
      <c r="C23" s="5" t="s">
        <v>142</v>
      </c>
      <c r="D23" s="5" t="s">
        <v>33</v>
      </c>
      <c r="E23" s="6" t="n">
        <v>0</v>
      </c>
      <c r="F23" s="16" t="n">
        <f aca="false">-SUMIFS('Monzo Transactions'!$J:$J,'Monzo Transactions'!$G:$G,"Building materials (Seyat Can)")</f>
        <v>4500</v>
      </c>
      <c r="G23" s="5" t="s">
        <v>129</v>
      </c>
    </row>
    <row r="24" customFormat="false" ht="15" hidden="false" customHeight="false" outlineLevel="0" collapsed="false">
      <c r="A24" s="5" t="n">
        <v>23</v>
      </c>
      <c r="B24" s="5" t="s">
        <v>143</v>
      </c>
      <c r="C24" s="5" t="s">
        <v>144</v>
      </c>
      <c r="D24" s="5" t="s">
        <v>9</v>
      </c>
      <c r="E24" s="16" t="n">
        <f aca="false">-SUMIFS('Monzo Transactions'!$J:$J,'Monzo Transactions'!$G:$G,"Payments to Alino / Ahmed Sayyed")</f>
        <v>2200</v>
      </c>
      <c r="F24" s="6" t="n">
        <v>0</v>
      </c>
      <c r="G24" s="5" t="s">
        <v>129</v>
      </c>
    </row>
    <row r="25" customFormat="false" ht="15" hidden="false" customHeight="false" outlineLevel="0" collapsed="false">
      <c r="A25" s="5" t="n">
        <v>24</v>
      </c>
      <c r="B25" s="5" t="s">
        <v>143</v>
      </c>
      <c r="C25" s="5" t="s">
        <v>144</v>
      </c>
      <c r="D25" s="5" t="s">
        <v>33</v>
      </c>
      <c r="E25" s="6" t="n">
        <v>0</v>
      </c>
      <c r="F25" s="16" t="n">
        <f aca="false">-SUMIFS('Monzo Transactions'!$J:$J,'Monzo Transactions'!$G:$G,"Payments to Alino / Ahmed Sayyed")</f>
        <v>2200</v>
      </c>
      <c r="G25" s="5" t="s">
        <v>129</v>
      </c>
    </row>
    <row r="26" customFormat="false" ht="15" hidden="false" customHeight="false" outlineLevel="0" collapsed="false">
      <c r="A26" s="5" t="n">
        <v>25</v>
      </c>
      <c r="B26" s="5" t="s">
        <v>137</v>
      </c>
      <c r="C26" s="5" t="s">
        <v>145</v>
      </c>
      <c r="D26" s="5" t="s">
        <v>109</v>
      </c>
      <c r="E26" s="16" t="n">
        <f aca="false">-SUMIFS('Monzo Transactions'!$J:$J,'Monzo Transactions'!$G:$G,"Mortgage*")</f>
        <v>16502.05</v>
      </c>
      <c r="F26" s="6" t="n">
        <v>0</v>
      </c>
      <c r="G26" s="5" t="s">
        <v>129</v>
      </c>
    </row>
    <row r="27" customFormat="false" ht="15" hidden="false" customHeight="false" outlineLevel="0" collapsed="false">
      <c r="A27" s="5" t="n">
        <v>26</v>
      </c>
      <c r="B27" s="5" t="s">
        <v>137</v>
      </c>
      <c r="C27" s="5" t="s">
        <v>145</v>
      </c>
      <c r="D27" s="5" t="s">
        <v>33</v>
      </c>
      <c r="E27" s="6" t="n">
        <v>0</v>
      </c>
      <c r="F27" s="16" t="n">
        <f aca="false">-SUMIFS('Monzo Transactions'!$J:$J,'Monzo Transactions'!$G:$G,"Mortgage*")</f>
        <v>16502.05</v>
      </c>
      <c r="G27" s="5" t="s">
        <v>129</v>
      </c>
    </row>
    <row r="28" customFormat="false" ht="15" hidden="false" customHeight="false" outlineLevel="0" collapsed="false">
      <c r="A28" s="5" t="n">
        <v>27</v>
      </c>
      <c r="B28" s="5" t="s">
        <v>146</v>
      </c>
      <c r="C28" s="5" t="s">
        <v>147</v>
      </c>
      <c r="D28" s="5" t="s">
        <v>108</v>
      </c>
      <c r="E28" s="16" t="n">
        <f aca="false">IF(Notes!$B$4="Yes",Notes!$B$5,0)</f>
        <v>0</v>
      </c>
      <c r="F28" s="6" t="n">
        <v>0</v>
      </c>
      <c r="G28" s="5" t="s">
        <v>148</v>
      </c>
    </row>
    <row r="29" customFormat="false" ht="15" hidden="false" customHeight="false" outlineLevel="0" collapsed="false">
      <c r="A29" s="5" t="n">
        <v>28</v>
      </c>
      <c r="B29" s="5" t="s">
        <v>149</v>
      </c>
      <c r="C29" s="5" t="s">
        <v>150</v>
      </c>
      <c r="D29" s="5" t="s">
        <v>15</v>
      </c>
      <c r="E29" s="16" t="n">
        <f aca="false">IF(Notes!$B$4="Yes",Notes!$B$6,0)</f>
        <v>0</v>
      </c>
      <c r="F29" s="6" t="n">
        <v>0</v>
      </c>
      <c r="G29" s="5" t="s">
        <v>148</v>
      </c>
    </row>
    <row r="30" customFormat="false" ht="15" hidden="false" customHeight="false" outlineLevel="0" collapsed="false">
      <c r="A30" s="5" t="n">
        <v>29</v>
      </c>
      <c r="B30" s="5" t="s">
        <v>151</v>
      </c>
      <c r="C30" s="5" t="s">
        <v>152</v>
      </c>
      <c r="D30" s="5" t="s">
        <v>16</v>
      </c>
      <c r="E30" s="16" t="n">
        <f aca="false">IF(Notes!$B$4="Yes",Notes!$B$7,0)</f>
        <v>0</v>
      </c>
      <c r="F30" s="6" t="n">
        <v>0</v>
      </c>
      <c r="G30" s="5" t="s">
        <v>148</v>
      </c>
    </row>
    <row r="31" customFormat="false" ht="15" hidden="false" customHeight="false" outlineLevel="0" collapsed="false">
      <c r="A31" s="5" t="n">
        <v>30</v>
      </c>
      <c r="B31" s="5" t="s">
        <v>146</v>
      </c>
      <c r="C31" s="5" t="s">
        <v>153</v>
      </c>
      <c r="D31" s="5" t="s">
        <v>39</v>
      </c>
      <c r="E31" s="6" t="n">
        <v>0</v>
      </c>
      <c r="F31" s="16" t="n">
        <f aca="false">IF(Notes!$B$4="Yes",Notes!$B$5+Notes!$B$6+Notes!$B$7,0)</f>
        <v>0</v>
      </c>
      <c r="G31" s="5" t="s">
        <v>148</v>
      </c>
    </row>
    <row r="32" customFormat="false" ht="15" hidden="false" customHeight="false" outlineLevel="0" collapsed="false">
      <c r="A32" s="5" t="n">
        <v>31</v>
      </c>
      <c r="B32" s="5" t="s">
        <v>154</v>
      </c>
      <c r="C32" s="5" t="s">
        <v>155</v>
      </c>
      <c r="D32" s="5" t="s">
        <v>97</v>
      </c>
      <c r="E32" s="16" t="n">
        <f aca="false">Notes!$B$8</f>
        <v>0</v>
      </c>
      <c r="F32" s="6" t="n">
        <v>0</v>
      </c>
      <c r="G32" s="5" t="s">
        <v>156</v>
      </c>
    </row>
    <row r="33" customFormat="false" ht="15" hidden="false" customHeight="false" outlineLevel="0" collapsed="false">
      <c r="A33" s="5" t="n">
        <v>32</v>
      </c>
      <c r="B33" s="5" t="s">
        <v>154</v>
      </c>
      <c r="C33" s="5" t="s">
        <v>155</v>
      </c>
      <c r="D33" s="5" t="s">
        <v>102</v>
      </c>
      <c r="E33" s="6" t="n">
        <v>0</v>
      </c>
      <c r="F33" s="16" t="n">
        <f aca="false">Notes!$B$8</f>
        <v>0</v>
      </c>
      <c r="G33" s="5" t="s">
        <v>156</v>
      </c>
    </row>
    <row r="34" customFormat="false" ht="15" hidden="false" customHeight="false" outlineLevel="0" collapsed="false">
      <c r="A34" s="5" t="n">
        <v>33</v>
      </c>
      <c r="B34" s="5" t="s">
        <v>154</v>
      </c>
      <c r="C34" s="5" t="s">
        <v>157</v>
      </c>
      <c r="D34" s="5" t="s">
        <v>95</v>
      </c>
      <c r="E34" s="16" t="n">
        <f aca="false">Notes!$B$9</f>
        <v>0</v>
      </c>
      <c r="F34" s="6" t="n">
        <v>0</v>
      </c>
      <c r="G34" s="5" t="s">
        <v>156</v>
      </c>
    </row>
    <row r="35" customFormat="false" ht="15" hidden="false" customHeight="false" outlineLevel="0" collapsed="false">
      <c r="A35" s="5" t="n">
        <v>34</v>
      </c>
      <c r="B35" s="5" t="s">
        <v>154</v>
      </c>
      <c r="C35" s="5" t="s">
        <v>157</v>
      </c>
      <c r="D35" s="5" t="s">
        <v>101</v>
      </c>
      <c r="E35" s="6" t="n">
        <v>0</v>
      </c>
      <c r="F35" s="16" t="n">
        <f aca="false">Notes!$B$9</f>
        <v>0</v>
      </c>
      <c r="G35" s="5" t="s">
        <v>158</v>
      </c>
    </row>
    <row r="36" customFormat="false" ht="15" hidden="false" customHeight="false" outlineLevel="0" collapsed="false">
      <c r="D36" s="2" t="s">
        <v>110</v>
      </c>
      <c r="E36" s="14" t="n">
        <f aca="false">SUM(E2:E35)</f>
        <v>548862.99</v>
      </c>
      <c r="F36" s="14" t="n">
        <f aca="false">SUM(F2:F35)</f>
        <v>548862.99</v>
      </c>
    </row>
    <row r="37" customFormat="false" ht="15" hidden="false" customHeight="false" outlineLevel="0" collapsed="false">
      <c r="D37" s="2" t="s">
        <v>159</v>
      </c>
      <c r="E37" s="14" t="n">
        <f aca="false">ROUND(E36-F36,2)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11"/>
    <col collapsed="false" customWidth="true" hidden="false" outlineLevel="0" max="4" min="2" style="17" width="13"/>
    <col collapsed="false" customWidth="true" hidden="false" outlineLevel="0" max="6" min="5" style="17" width="15"/>
    <col collapsed="false" customWidth="true" hidden="false" outlineLevel="0" max="7" min="7" style="17" width="12"/>
    <col collapsed="false" customWidth="true" hidden="false" outlineLevel="0" max="9" min="8" style="17" width="14"/>
    <col collapsed="false" customWidth="true" hidden="false" outlineLevel="0" max="10" min="10" style="17" width="13"/>
    <col collapsed="false" customWidth="true" hidden="false" outlineLevel="0" max="11" min="11" style="17" width="12"/>
    <col collapsed="false" customWidth="true" hidden="false" outlineLevel="0" max="12" min="12" style="17" width="44"/>
  </cols>
  <sheetData>
    <row r="1" customFormat="false" ht="17.25" hidden="false" customHeight="true" outlineLevel="0" collapsed="false">
      <c r="A1" s="18" t="s">
        <v>160</v>
      </c>
    </row>
    <row r="2" customFormat="false" ht="15" hidden="false" customHeight="true" outlineLevel="0" collapsed="false">
      <c r="A2" s="19" t="s">
        <v>161</v>
      </c>
    </row>
    <row r="4" customFormat="false" ht="31.5" hidden="false" customHeight="true" outlineLevel="0" collapsed="false">
      <c r="A4" s="20" t="s">
        <v>162</v>
      </c>
      <c r="B4" s="20" t="s">
        <v>163</v>
      </c>
      <c r="C4" s="20" t="s">
        <v>164</v>
      </c>
      <c r="D4" s="20" t="s">
        <v>165</v>
      </c>
      <c r="E4" s="20" t="s">
        <v>166</v>
      </c>
      <c r="F4" s="20" t="s">
        <v>167</v>
      </c>
      <c r="G4" s="20" t="s">
        <v>168</v>
      </c>
      <c r="H4" s="20" t="s">
        <v>169</v>
      </c>
      <c r="I4" s="20" t="s">
        <v>170</v>
      </c>
      <c r="J4" s="20" t="s">
        <v>171</v>
      </c>
      <c r="K4" s="20" t="s">
        <v>172</v>
      </c>
      <c r="L4" s="20" t="s">
        <v>173</v>
      </c>
    </row>
    <row r="5" customFormat="false" ht="15" hidden="false" customHeight="true" outlineLevel="0" collapsed="false">
      <c r="A5" s="21" t="s">
        <v>174</v>
      </c>
      <c r="B5" s="22" t="n">
        <v>0</v>
      </c>
      <c r="C5" s="23" t="n">
        <f aca="false">SUMIFS('Monzo Transactions'!$H:$H,'Monzo Transactions'!$B:$B,$A5)</f>
        <v>7682</v>
      </c>
      <c r="D5" s="23" t="n">
        <f aca="false">SUMIFS('Monzo Transactions'!$I:$I,'Monzo Transactions'!$B:$B,$A5)</f>
        <v>3000</v>
      </c>
      <c r="E5" s="23" t="n">
        <f aca="false">B5+C5-D5</f>
        <v>4682</v>
      </c>
      <c r="F5" s="22" t="n">
        <v>4682</v>
      </c>
      <c r="G5" s="23" t="n">
        <f aca="false">ROUND(E5-F5,2)</f>
        <v>0</v>
      </c>
      <c r="H5" s="22" t="n">
        <v>7682</v>
      </c>
      <c r="I5" s="22" t="n">
        <v>3000</v>
      </c>
      <c r="J5" s="23" t="n">
        <f aca="false">ROUND((C5-H5)+(D5-I5),2)</f>
        <v>0</v>
      </c>
      <c r="K5" s="21" t="str">
        <f aca="false">IF(AND(G5=0,OR(J5=0,J5="n/a")),"Reconciled","CHECK")</f>
        <v>Reconciled</v>
      </c>
      <c r="L5" s="21" t="s">
        <v>175</v>
      </c>
    </row>
    <row r="6" customFormat="false" ht="15" hidden="false" customHeight="true" outlineLevel="0" collapsed="false">
      <c r="A6" s="21" t="s">
        <v>176</v>
      </c>
      <c r="B6" s="23" t="n">
        <f aca="false">F5</f>
        <v>4682</v>
      </c>
      <c r="C6" s="23" t="n">
        <f aca="false">SUMIFS('Monzo Transactions'!$H:$H,'Monzo Transactions'!$B:$B,$A6)</f>
        <v>5550</v>
      </c>
      <c r="D6" s="23" t="n">
        <f aca="false">SUMIFS('Monzo Transactions'!$I:$I,'Monzo Transactions'!$B:$B,$A6)</f>
        <v>7800.41</v>
      </c>
      <c r="E6" s="23" t="n">
        <f aca="false">B6+C6-D6</f>
        <v>2431.59</v>
      </c>
      <c r="F6" s="22" t="n">
        <v>2431.59</v>
      </c>
      <c r="G6" s="23" t="n">
        <f aca="false">ROUND(E6-F6,2)</f>
        <v>0</v>
      </c>
      <c r="H6" s="22" t="n">
        <v>5550</v>
      </c>
      <c r="I6" s="22" t="n">
        <v>7800.41</v>
      </c>
      <c r="J6" s="23" t="n">
        <f aca="false">ROUND((C6-H6)+(D6-I6),2)</f>
        <v>0</v>
      </c>
      <c r="K6" s="21" t="str">
        <f aca="false">IF(AND(G6=0,OR(J6=0,J6="n/a")),"Reconciled","CHECK")</f>
        <v>Reconciled</v>
      </c>
      <c r="L6" s="21" t="s">
        <v>177</v>
      </c>
    </row>
    <row r="7" customFormat="false" ht="15" hidden="false" customHeight="true" outlineLevel="0" collapsed="false">
      <c r="A7" s="21" t="s">
        <v>178</v>
      </c>
      <c r="B7" s="23" t="n">
        <f aca="false">F6</f>
        <v>2431.59</v>
      </c>
      <c r="C7" s="23" t="n">
        <f aca="false">SUMIFS('Monzo Transactions'!$H:$H,'Monzo Transactions'!$B:$B,$A7)</f>
        <v>1000</v>
      </c>
      <c r="D7" s="23" t="n">
        <f aca="false">SUMIFS('Monzo Transactions'!$I:$I,'Monzo Transactions'!$B:$B,$A7)</f>
        <v>3300.41</v>
      </c>
      <c r="E7" s="23" t="n">
        <f aca="false">B7+C7-D7</f>
        <v>131.18</v>
      </c>
      <c r="F7" s="22" t="n">
        <v>131.18</v>
      </c>
      <c r="G7" s="23" t="n">
        <f aca="false">ROUND(E7-F7,2)</f>
        <v>0</v>
      </c>
      <c r="H7" s="22" t="n">
        <v>1000</v>
      </c>
      <c r="I7" s="22" t="n">
        <v>3300.41</v>
      </c>
      <c r="J7" s="23" t="n">
        <f aca="false">ROUND((C7-H7)+(D7-I7),2)</f>
        <v>0</v>
      </c>
      <c r="K7" s="21" t="str">
        <f aca="false">IF(AND(G7=0,OR(J7=0,J7="n/a")),"Reconciled","CHECK")</f>
        <v>Reconciled</v>
      </c>
      <c r="L7" s="21" t="s">
        <v>179</v>
      </c>
    </row>
    <row r="8" customFormat="false" ht="15" hidden="false" customHeight="true" outlineLevel="0" collapsed="false">
      <c r="A8" s="21" t="s">
        <v>180</v>
      </c>
      <c r="B8" s="23" t="n">
        <f aca="false">F7</f>
        <v>131.18</v>
      </c>
      <c r="C8" s="23" t="n">
        <f aca="false">SUMIFS('Monzo Transactions'!$H:$H,'Monzo Transactions'!$B:$B,$A8)</f>
        <v>5300</v>
      </c>
      <c r="D8" s="23" t="n">
        <f aca="false">SUMIFS('Monzo Transactions'!$I:$I,'Monzo Transactions'!$B:$B,$A8)</f>
        <v>3500.41</v>
      </c>
      <c r="E8" s="23" t="n">
        <f aca="false">B8+C8-D8</f>
        <v>1930.77</v>
      </c>
      <c r="F8" s="22" t="n">
        <v>1930.77</v>
      </c>
      <c r="G8" s="23" t="n">
        <f aca="false">ROUND(E8-F8,2)</f>
        <v>0</v>
      </c>
      <c r="H8" s="22"/>
      <c r="I8" s="22"/>
      <c r="J8" s="23" t="s">
        <v>181</v>
      </c>
      <c r="K8" s="21" t="str">
        <f aca="false">IF(AND(G8=0,OR(J8=0,J8="n/a")),"Reconciled","CHECK")</f>
        <v>Reconciled</v>
      </c>
      <c r="L8" s="21" t="s">
        <v>182</v>
      </c>
    </row>
    <row r="9" customFormat="false" ht="15" hidden="false" customHeight="true" outlineLevel="0" collapsed="false">
      <c r="A9" s="21" t="s">
        <v>183</v>
      </c>
      <c r="B9" s="23" t="n">
        <f aca="false">F8</f>
        <v>1930.77</v>
      </c>
      <c r="C9" s="23" t="n">
        <f aca="false">SUMIFS('Monzo Transactions'!$H:$H,'Monzo Transactions'!$B:$B,$A9)</f>
        <v>2400</v>
      </c>
      <c r="D9" s="23" t="n">
        <f aca="false">SUMIFS('Monzo Transactions'!$I:$I,'Monzo Transactions'!$B:$B,$A9)</f>
        <v>3300.41</v>
      </c>
      <c r="E9" s="23" t="n">
        <f aca="false">B9+C9-D9</f>
        <v>1030.36</v>
      </c>
      <c r="F9" s="22" t="n">
        <v>1030.36</v>
      </c>
      <c r="G9" s="23" t="n">
        <f aca="false">ROUND(E9-F9,2)</f>
        <v>0</v>
      </c>
      <c r="H9" s="22"/>
      <c r="I9" s="22"/>
      <c r="J9" s="23" t="s">
        <v>181</v>
      </c>
      <c r="K9" s="21" t="str">
        <f aca="false">IF(AND(G9=0,OR(J9=0,J9="n/a")),"Reconciled","CHECK")</f>
        <v>Reconciled</v>
      </c>
      <c r="L9" s="21" t="s">
        <v>182</v>
      </c>
    </row>
    <row r="10" customFormat="false" ht="15" hidden="false" customHeight="true" outlineLevel="0" collapsed="false">
      <c r="A10" s="21" t="s">
        <v>184</v>
      </c>
      <c r="B10" s="23" t="n">
        <f aca="false">F9</f>
        <v>1030.36</v>
      </c>
      <c r="C10" s="23" t="n">
        <f aca="false">SUMIFS('Monzo Transactions'!$H:$H,'Monzo Transactions'!$B:$B,$A10)</f>
        <v>2400</v>
      </c>
      <c r="D10" s="23" t="n">
        <f aca="false">SUMIFS('Monzo Transactions'!$I:$I,'Monzo Transactions'!$B:$B,$A10)</f>
        <v>3300.41</v>
      </c>
      <c r="E10" s="23" t="n">
        <f aca="false">B10+C10-D10</f>
        <v>129.95</v>
      </c>
      <c r="F10" s="22" t="n">
        <v>129.95</v>
      </c>
      <c r="G10" s="23" t="n">
        <f aca="false">ROUND(E10-F10,2)</f>
        <v>0</v>
      </c>
      <c r="H10" s="22"/>
      <c r="I10" s="22"/>
      <c r="J10" s="23" t="s">
        <v>181</v>
      </c>
      <c r="K10" s="21" t="str">
        <f aca="false">IF(AND(G10=0,OR(J10=0,J10="n/a")),"Reconciled","CHECK")</f>
        <v>Reconciled</v>
      </c>
      <c r="L10" s="21" t="s">
        <v>185</v>
      </c>
    </row>
    <row r="11" customFormat="false" ht="15" hidden="false" customHeight="true" outlineLevel="0" collapsed="false">
      <c r="A11" s="24" t="s">
        <v>186</v>
      </c>
      <c r="B11" s="25"/>
      <c r="C11" s="25" t="n">
        <f aca="false">SUM(C5:C10)</f>
        <v>24332</v>
      </c>
      <c r="D11" s="25" t="n">
        <f aca="false">SUM(D5:D10)</f>
        <v>24202.05</v>
      </c>
      <c r="E11" s="25" t="n">
        <f aca="false">B5+C11-D11</f>
        <v>129.950000000001</v>
      </c>
      <c r="F11" s="25" t="n">
        <f aca="false">F10</f>
        <v>129.95</v>
      </c>
      <c r="G11" s="25" t="n">
        <f aca="false">ROUND(E11-F11,2)</f>
        <v>0</v>
      </c>
      <c r="H11" s="25"/>
      <c r="I11" s="25"/>
      <c r="J11" s="25"/>
      <c r="K11" s="24"/>
      <c r="L11" s="24"/>
    </row>
    <row r="13" customFormat="false" ht="15" hidden="false" customHeight="true" outlineLevel="0" collapsed="false">
      <c r="A13" s="26" t="s">
        <v>187</v>
      </c>
      <c r="D13" s="26" t="n">
        <f aca="false">COUNTIF('Monzo Transactions'!M2:M37,"&lt;&gt;0")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11"/>
    <col collapsed="false" customWidth="true" hidden="false" outlineLevel="0" max="2" min="2" style="17" width="9"/>
    <col collapsed="false" customWidth="true" hidden="false" outlineLevel="0" max="3" min="3" style="17" width="15"/>
    <col collapsed="false" customWidth="true" hidden="false" outlineLevel="0" max="4" min="4" style="17" width="24"/>
    <col collapsed="false" customWidth="true" hidden="false" outlineLevel="0" max="5" min="5" style="17" width="20"/>
    <col collapsed="false" customWidth="true" hidden="false" outlineLevel="0" max="6" min="6" style="17" width="13"/>
    <col collapsed="false" customWidth="true" hidden="false" outlineLevel="0" max="7" min="7" style="17" width="38"/>
    <col collapsed="false" customWidth="true" hidden="false" outlineLevel="0" max="10" min="8" style="17" width="13"/>
    <col collapsed="false" customWidth="true" hidden="false" outlineLevel="0" max="12" min="11" style="17" width="15"/>
    <col collapsed="false" customWidth="true" hidden="false" outlineLevel="0" max="13" min="13" style="17" width="12"/>
    <col collapsed="false" customWidth="true" hidden="false" outlineLevel="0" max="14" min="14" style="17" width="26"/>
  </cols>
  <sheetData>
    <row r="1" customFormat="false" ht="30" hidden="false" customHeight="true" outlineLevel="0" collapsed="false">
      <c r="A1" s="20" t="s">
        <v>114</v>
      </c>
      <c r="B1" s="20" t="s">
        <v>162</v>
      </c>
      <c r="C1" s="20" t="s">
        <v>90</v>
      </c>
      <c r="D1" s="20" t="s">
        <v>188</v>
      </c>
      <c r="E1" s="20" t="s">
        <v>189</v>
      </c>
      <c r="F1" s="20" t="s">
        <v>190</v>
      </c>
      <c r="G1" s="20" t="s">
        <v>191</v>
      </c>
      <c r="H1" s="20" t="s">
        <v>164</v>
      </c>
      <c r="I1" s="20" t="s">
        <v>165</v>
      </c>
      <c r="J1" s="20" t="s">
        <v>192</v>
      </c>
      <c r="K1" s="20" t="s">
        <v>193</v>
      </c>
      <c r="L1" s="20" t="s">
        <v>194</v>
      </c>
      <c r="M1" s="20" t="s">
        <v>168</v>
      </c>
      <c r="N1" s="20" t="s">
        <v>116</v>
      </c>
    </row>
    <row r="2" customFormat="false" ht="15" hidden="false" customHeight="true" outlineLevel="0" collapsed="false">
      <c r="A2" s="27" t="n">
        <v>45919</v>
      </c>
      <c r="B2" s="28" t="str">
        <f aca="false">TEXT(A2,"yyyy-mm")</f>
        <v>2025-09</v>
      </c>
      <c r="C2" s="28" t="s">
        <v>195</v>
      </c>
      <c r="D2" s="28" t="s">
        <v>196</v>
      </c>
      <c r="E2" s="28" t="s">
        <v>197</v>
      </c>
      <c r="F2" s="28" t="s">
        <v>104</v>
      </c>
      <c r="G2" s="28" t="s">
        <v>198</v>
      </c>
      <c r="H2" s="29" t="n">
        <f aca="false">IF(J2&gt;0,J2,0)</f>
        <v>5000</v>
      </c>
      <c r="I2" s="29" t="n">
        <f aca="false">IF(J2&lt;0,-J2,0)</f>
        <v>0</v>
      </c>
      <c r="J2" s="30" t="n">
        <v>5000</v>
      </c>
      <c r="K2" s="29" t="n">
        <f aca="false">J2</f>
        <v>5000</v>
      </c>
      <c r="L2" s="30" t="n">
        <v>5000</v>
      </c>
      <c r="M2" s="29" t="n">
        <f aca="false">ROUND(K2-L2,2)</f>
        <v>0</v>
      </c>
      <c r="N2" s="28" t="s">
        <v>199</v>
      </c>
    </row>
    <row r="3" customFormat="false" ht="15" hidden="false" customHeight="true" outlineLevel="0" collapsed="false">
      <c r="A3" s="27" t="n">
        <v>45919</v>
      </c>
      <c r="B3" s="28" t="str">
        <f aca="false">TEXT(A3,"yyyy-mm")</f>
        <v>2025-09</v>
      </c>
      <c r="C3" s="28" t="s">
        <v>195</v>
      </c>
      <c r="D3" s="28" t="s">
        <v>196</v>
      </c>
      <c r="E3" s="28" t="s">
        <v>200</v>
      </c>
      <c r="F3" s="28" t="s">
        <v>104</v>
      </c>
      <c r="G3" s="28" t="s">
        <v>198</v>
      </c>
      <c r="H3" s="29" t="n">
        <f aca="false">IF(J3&gt;0,J3,0)</f>
        <v>1400</v>
      </c>
      <c r="I3" s="29" t="n">
        <f aca="false">IF(J3&lt;0,-J3,0)</f>
        <v>0</v>
      </c>
      <c r="J3" s="30" t="n">
        <v>1400</v>
      </c>
      <c r="K3" s="29" t="n">
        <f aca="false">K2+J3</f>
        <v>6400</v>
      </c>
      <c r="L3" s="30" t="n">
        <v>6400</v>
      </c>
      <c r="M3" s="29" t="n">
        <f aca="false">ROUND(K3-L3,2)</f>
        <v>0</v>
      </c>
      <c r="N3" s="28" t="s">
        <v>199</v>
      </c>
    </row>
    <row r="4" customFormat="false" ht="15" hidden="false" customHeight="true" outlineLevel="0" collapsed="false">
      <c r="A4" s="27" t="n">
        <v>45921</v>
      </c>
      <c r="B4" s="28" t="str">
        <f aca="false">TEXT(A4,"yyyy-mm")</f>
        <v>2025-09</v>
      </c>
      <c r="C4" s="28" t="s">
        <v>195</v>
      </c>
      <c r="D4" s="28" t="s">
        <v>201</v>
      </c>
      <c r="E4" s="28" t="s">
        <v>202</v>
      </c>
      <c r="F4" s="28" t="s">
        <v>104</v>
      </c>
      <c r="G4" s="28" t="s">
        <v>203</v>
      </c>
      <c r="H4" s="29" t="n">
        <f aca="false">IF(J4&gt;0,J4,0)</f>
        <v>1282</v>
      </c>
      <c r="I4" s="29" t="n">
        <f aca="false">IF(J4&lt;0,-J4,0)</f>
        <v>0</v>
      </c>
      <c r="J4" s="30" t="n">
        <v>1282</v>
      </c>
      <c r="K4" s="29" t="n">
        <f aca="false">K3+J4</f>
        <v>7682</v>
      </c>
      <c r="L4" s="30" t="n">
        <v>7682</v>
      </c>
      <c r="M4" s="29" t="n">
        <f aca="false">ROUND(K4-L4,2)</f>
        <v>0</v>
      </c>
      <c r="N4" s="28" t="s">
        <v>199</v>
      </c>
    </row>
    <row r="5" customFormat="false" ht="15" hidden="false" customHeight="true" outlineLevel="0" collapsed="false">
      <c r="A5" s="27" t="n">
        <v>45922</v>
      </c>
      <c r="B5" s="28" t="str">
        <f aca="false">TEXT(A5,"yyyy-mm")</f>
        <v>2025-09</v>
      </c>
      <c r="C5" s="28" t="s">
        <v>195</v>
      </c>
      <c r="D5" s="28" t="s">
        <v>204</v>
      </c>
      <c r="E5" s="28" t="s">
        <v>205</v>
      </c>
      <c r="F5" s="28" t="s">
        <v>206</v>
      </c>
      <c r="G5" s="28" t="s">
        <v>207</v>
      </c>
      <c r="H5" s="29" t="n">
        <f aca="false">IF(J5&gt;0,J5,0)</f>
        <v>0</v>
      </c>
      <c r="I5" s="29" t="n">
        <f aca="false">IF(J5&lt;0,-J5,0)</f>
        <v>3000</v>
      </c>
      <c r="J5" s="30" t="n">
        <v>-3000</v>
      </c>
      <c r="K5" s="29" t="n">
        <f aca="false">K4+J5</f>
        <v>4682</v>
      </c>
      <c r="L5" s="30" t="n">
        <v>4682</v>
      </c>
      <c r="M5" s="29" t="n">
        <f aca="false">ROUND(K5-L5,2)</f>
        <v>0</v>
      </c>
      <c r="N5" s="28" t="s">
        <v>199</v>
      </c>
    </row>
    <row r="6" customFormat="false" ht="15" hidden="false" customHeight="true" outlineLevel="0" collapsed="false">
      <c r="A6" s="27" t="n">
        <v>45931</v>
      </c>
      <c r="B6" s="28" t="str">
        <f aca="false">TEXT(A6,"yyyy-mm")</f>
        <v>2025-10</v>
      </c>
      <c r="C6" s="28" t="s">
        <v>195</v>
      </c>
      <c r="D6" s="28" t="s">
        <v>204</v>
      </c>
      <c r="E6" s="28" t="s">
        <v>205</v>
      </c>
      <c r="F6" s="28" t="s">
        <v>206</v>
      </c>
      <c r="G6" s="28" t="s">
        <v>207</v>
      </c>
      <c r="H6" s="29" t="n">
        <f aca="false">IF(J6&gt;0,J6,0)</f>
        <v>0</v>
      </c>
      <c r="I6" s="29" t="n">
        <f aca="false">IF(J6&lt;0,-J6,0)</f>
        <v>1500</v>
      </c>
      <c r="J6" s="30" t="n">
        <v>-1500</v>
      </c>
      <c r="K6" s="29" t="n">
        <f aca="false">K5+J6</f>
        <v>3182</v>
      </c>
      <c r="L6" s="30" t="n">
        <v>3182</v>
      </c>
      <c r="M6" s="29" t="n">
        <f aca="false">ROUND(K6-L6,2)</f>
        <v>0</v>
      </c>
      <c r="N6" s="28" t="s">
        <v>208</v>
      </c>
    </row>
    <row r="7" customFormat="false" ht="15" hidden="false" customHeight="true" outlineLevel="0" collapsed="false">
      <c r="A7" s="27" t="n">
        <v>45936</v>
      </c>
      <c r="B7" s="28" t="str">
        <f aca="false">TEXT(A7,"yyyy-mm")</f>
        <v>2025-10</v>
      </c>
      <c r="C7" s="28" t="s">
        <v>195</v>
      </c>
      <c r="D7" s="28" t="s">
        <v>201</v>
      </c>
      <c r="E7" s="28" t="s">
        <v>202</v>
      </c>
      <c r="F7" s="28" t="s">
        <v>104</v>
      </c>
      <c r="G7" s="28" t="s">
        <v>203</v>
      </c>
      <c r="H7" s="29" t="n">
        <f aca="false">IF(J7&gt;0,J7,0)</f>
        <v>1300</v>
      </c>
      <c r="I7" s="29" t="n">
        <f aca="false">IF(J7&lt;0,-J7,0)</f>
        <v>0</v>
      </c>
      <c r="J7" s="30" t="n">
        <v>1300</v>
      </c>
      <c r="K7" s="29" t="n">
        <f aca="false">K6+J7</f>
        <v>4482</v>
      </c>
      <c r="L7" s="30" t="n">
        <v>4482</v>
      </c>
      <c r="M7" s="29" t="n">
        <f aca="false">ROUND(K7-L7,2)</f>
        <v>0</v>
      </c>
      <c r="N7" s="28" t="s">
        <v>208</v>
      </c>
    </row>
    <row r="8" customFormat="false" ht="15" hidden="false" customHeight="true" outlineLevel="0" collapsed="false">
      <c r="A8" s="27" t="n">
        <v>45936</v>
      </c>
      <c r="B8" s="28" t="str">
        <f aca="false">TEXT(A8,"yyyy-mm")</f>
        <v>2025-10</v>
      </c>
      <c r="C8" s="28" t="s">
        <v>195</v>
      </c>
      <c r="D8" s="28" t="s">
        <v>209</v>
      </c>
      <c r="E8" s="28" t="s">
        <v>210</v>
      </c>
      <c r="F8" s="28" t="s">
        <v>104</v>
      </c>
      <c r="G8" s="28" t="s">
        <v>203</v>
      </c>
      <c r="H8" s="29" t="n">
        <f aca="false">IF(J8&gt;0,J8,0)</f>
        <v>1250</v>
      </c>
      <c r="I8" s="29" t="n">
        <f aca="false">IF(J8&lt;0,-J8,0)</f>
        <v>0</v>
      </c>
      <c r="J8" s="30" t="n">
        <v>1250</v>
      </c>
      <c r="K8" s="29" t="n">
        <f aca="false">K7+J8</f>
        <v>5732</v>
      </c>
      <c r="L8" s="30" t="n">
        <v>5732</v>
      </c>
      <c r="M8" s="29" t="n">
        <f aca="false">ROUND(K8-L8,2)</f>
        <v>0</v>
      </c>
      <c r="N8" s="28" t="s">
        <v>208</v>
      </c>
    </row>
    <row r="9" customFormat="false" ht="15" hidden="false" customHeight="true" outlineLevel="0" collapsed="false">
      <c r="A9" s="27" t="n">
        <v>45936</v>
      </c>
      <c r="B9" s="28" t="str">
        <f aca="false">TEXT(A9,"yyyy-mm")</f>
        <v>2025-10</v>
      </c>
      <c r="C9" s="28" t="s">
        <v>195</v>
      </c>
      <c r="D9" s="28" t="s">
        <v>211</v>
      </c>
      <c r="E9" s="28" t="s">
        <v>212</v>
      </c>
      <c r="F9" s="28" t="s">
        <v>104</v>
      </c>
      <c r="G9" s="28" t="s">
        <v>203</v>
      </c>
      <c r="H9" s="29" t="n">
        <f aca="false">IF(J9&gt;0,J9,0)</f>
        <v>500</v>
      </c>
      <c r="I9" s="29" t="n">
        <f aca="false">IF(J9&lt;0,-J9,0)</f>
        <v>0</v>
      </c>
      <c r="J9" s="30" t="n">
        <v>500</v>
      </c>
      <c r="K9" s="29" t="n">
        <f aca="false">K8+J9</f>
        <v>6232</v>
      </c>
      <c r="L9" s="30" t="n">
        <v>6232</v>
      </c>
      <c r="M9" s="29" t="n">
        <f aca="false">ROUND(K9-L9,2)</f>
        <v>0</v>
      </c>
      <c r="N9" s="28" t="s">
        <v>208</v>
      </c>
    </row>
    <row r="10" customFormat="false" ht="15" hidden="false" customHeight="true" outlineLevel="0" collapsed="false">
      <c r="A10" s="27" t="n">
        <v>45937</v>
      </c>
      <c r="B10" s="28" t="str">
        <f aca="false">TEXT(A10,"yyyy-mm")</f>
        <v>2025-10</v>
      </c>
      <c r="C10" s="28" t="s">
        <v>195</v>
      </c>
      <c r="D10" s="28" t="s">
        <v>211</v>
      </c>
      <c r="E10" s="28" t="s">
        <v>212</v>
      </c>
      <c r="F10" s="28" t="s">
        <v>104</v>
      </c>
      <c r="G10" s="28" t="s">
        <v>203</v>
      </c>
      <c r="H10" s="29" t="n">
        <f aca="false">IF(J10&gt;0,J10,0)</f>
        <v>2500</v>
      </c>
      <c r="I10" s="29" t="n">
        <f aca="false">IF(J10&lt;0,-J10,0)</f>
        <v>0</v>
      </c>
      <c r="J10" s="30" t="n">
        <v>2500</v>
      </c>
      <c r="K10" s="29" t="n">
        <f aca="false">K9+J10</f>
        <v>8732</v>
      </c>
      <c r="L10" s="30" t="n">
        <v>8732</v>
      </c>
      <c r="M10" s="29" t="n">
        <f aca="false">ROUND(K10-L10,2)</f>
        <v>0</v>
      </c>
      <c r="N10" s="28" t="s">
        <v>208</v>
      </c>
    </row>
    <row r="11" customFormat="false" ht="15" hidden="false" customHeight="true" outlineLevel="0" collapsed="false">
      <c r="A11" s="27" t="n">
        <v>45944</v>
      </c>
      <c r="B11" s="28" t="str">
        <f aca="false">TEXT(A11,"yyyy-mm")</f>
        <v>2025-10</v>
      </c>
      <c r="C11" s="28" t="s">
        <v>213</v>
      </c>
      <c r="D11" s="28" t="s">
        <v>214</v>
      </c>
      <c r="E11" s="28" t="s">
        <v>214</v>
      </c>
      <c r="F11" s="28" t="s">
        <v>215</v>
      </c>
      <c r="G11" s="28" t="s">
        <v>216</v>
      </c>
      <c r="H11" s="29" t="n">
        <f aca="false">IF(J11&gt;0,J11,0)</f>
        <v>0</v>
      </c>
      <c r="I11" s="29" t="n">
        <f aca="false">IF(J11&lt;0,-J11,0)</f>
        <v>1000</v>
      </c>
      <c r="J11" s="30" t="n">
        <v>-1000</v>
      </c>
      <c r="K11" s="29" t="n">
        <f aca="false">K10+J11</f>
        <v>7732</v>
      </c>
      <c r="L11" s="30" t="n">
        <v>7732</v>
      </c>
      <c r="M11" s="29" t="n">
        <f aca="false">ROUND(K11-L11,2)</f>
        <v>0</v>
      </c>
      <c r="N11" s="28" t="s">
        <v>208</v>
      </c>
    </row>
    <row r="12" customFormat="false" ht="15" hidden="false" customHeight="true" outlineLevel="0" collapsed="false">
      <c r="A12" s="27" t="n">
        <v>45944</v>
      </c>
      <c r="B12" s="28" t="str">
        <f aca="false">TEXT(A12,"yyyy-mm")</f>
        <v>2025-10</v>
      </c>
      <c r="C12" s="28" t="s">
        <v>195</v>
      </c>
      <c r="D12" s="28" t="s">
        <v>217</v>
      </c>
      <c r="E12" s="28" t="s">
        <v>218</v>
      </c>
      <c r="F12" s="28" t="s">
        <v>219</v>
      </c>
      <c r="G12" s="28" t="s">
        <v>220</v>
      </c>
      <c r="H12" s="29" t="n">
        <f aca="false">IF(J12&gt;0,J12,0)</f>
        <v>0</v>
      </c>
      <c r="I12" s="29" t="n">
        <f aca="false">IF(J12&lt;0,-J12,0)</f>
        <v>2000</v>
      </c>
      <c r="J12" s="30" t="n">
        <v>-2000</v>
      </c>
      <c r="K12" s="29" t="n">
        <f aca="false">K11+J12</f>
        <v>5732</v>
      </c>
      <c r="L12" s="30" t="n">
        <v>5732</v>
      </c>
      <c r="M12" s="29" t="n">
        <f aca="false">ROUND(K12-L12,2)</f>
        <v>0</v>
      </c>
      <c r="N12" s="28" t="s">
        <v>208</v>
      </c>
    </row>
    <row r="13" customFormat="false" ht="15" hidden="false" customHeight="true" outlineLevel="0" collapsed="false">
      <c r="A13" s="27" t="n">
        <v>45947</v>
      </c>
      <c r="B13" s="28" t="str">
        <f aca="false">TEXT(A13,"yyyy-mm")</f>
        <v>2025-10</v>
      </c>
      <c r="C13" s="28" t="s">
        <v>221</v>
      </c>
      <c r="D13" s="28" t="s">
        <v>222</v>
      </c>
      <c r="E13" s="28" t="s">
        <v>223</v>
      </c>
      <c r="F13" s="28" t="s">
        <v>219</v>
      </c>
      <c r="G13" s="28" t="s">
        <v>224</v>
      </c>
      <c r="H13" s="29" t="n">
        <f aca="false">IF(J13&gt;0,J13,0)</f>
        <v>0</v>
      </c>
      <c r="I13" s="29" t="n">
        <f aca="false">IF(J13&lt;0,-J13,0)</f>
        <v>2139.83</v>
      </c>
      <c r="J13" s="30" t="n">
        <v>-2139.83</v>
      </c>
      <c r="K13" s="29" t="n">
        <f aca="false">K12+J13</f>
        <v>3592.17</v>
      </c>
      <c r="L13" s="30" t="n">
        <v>3592.17</v>
      </c>
      <c r="M13" s="29" t="n">
        <f aca="false">ROUND(K13-L13,2)</f>
        <v>0</v>
      </c>
      <c r="N13" s="28" t="s">
        <v>208</v>
      </c>
    </row>
    <row r="14" customFormat="false" ht="15" hidden="false" customHeight="true" outlineLevel="0" collapsed="false">
      <c r="A14" s="27" t="n">
        <v>45947</v>
      </c>
      <c r="B14" s="28" t="str">
        <f aca="false">TEXT(A14,"yyyy-mm")</f>
        <v>2025-10</v>
      </c>
      <c r="C14" s="28" t="s">
        <v>221</v>
      </c>
      <c r="D14" s="28" t="s">
        <v>222</v>
      </c>
      <c r="E14" s="28" t="s">
        <v>225</v>
      </c>
      <c r="F14" s="28" t="s">
        <v>219</v>
      </c>
      <c r="G14" s="28" t="s">
        <v>226</v>
      </c>
      <c r="H14" s="29" t="n">
        <f aca="false">IF(J14&gt;0,J14,0)</f>
        <v>0</v>
      </c>
      <c r="I14" s="29" t="n">
        <f aca="false">IF(J14&lt;0,-J14,0)</f>
        <v>1160.58</v>
      </c>
      <c r="J14" s="30" t="n">
        <v>-1160.58</v>
      </c>
      <c r="K14" s="29" t="n">
        <f aca="false">K13+J14</f>
        <v>2431.59</v>
      </c>
      <c r="L14" s="30" t="n">
        <v>2431.59</v>
      </c>
      <c r="M14" s="29" t="n">
        <f aca="false">ROUND(K14-L14,2)</f>
        <v>0</v>
      </c>
      <c r="N14" s="28" t="s">
        <v>208</v>
      </c>
    </row>
    <row r="15" customFormat="false" ht="15" hidden="false" customHeight="true" outlineLevel="0" collapsed="false">
      <c r="A15" s="27" t="n">
        <v>45972</v>
      </c>
      <c r="B15" s="28" t="str">
        <f aca="false">TEXT(A15,"yyyy-mm")</f>
        <v>2025-11</v>
      </c>
      <c r="C15" s="28" t="s">
        <v>195</v>
      </c>
      <c r="D15" s="28" t="s">
        <v>227</v>
      </c>
      <c r="E15" s="28" t="s">
        <v>228</v>
      </c>
      <c r="F15" s="28" t="s">
        <v>104</v>
      </c>
      <c r="G15" s="28" t="s">
        <v>128</v>
      </c>
      <c r="H15" s="29" t="n">
        <f aca="false">IF(J15&gt;0,J15,0)</f>
        <v>1000</v>
      </c>
      <c r="I15" s="29" t="n">
        <f aca="false">IF(J15&lt;0,-J15,0)</f>
        <v>0</v>
      </c>
      <c r="J15" s="30" t="n">
        <v>1000</v>
      </c>
      <c r="K15" s="29" t="n">
        <f aca="false">K14+J15</f>
        <v>3431.59</v>
      </c>
      <c r="L15" s="30" t="n">
        <v>3431.59</v>
      </c>
      <c r="M15" s="29" t="n">
        <f aca="false">ROUND(K15-L15,2)</f>
        <v>0</v>
      </c>
      <c r="N15" s="28" t="s">
        <v>208</v>
      </c>
    </row>
    <row r="16" customFormat="false" ht="15" hidden="false" customHeight="true" outlineLevel="0" collapsed="false">
      <c r="A16" s="27" t="n">
        <v>45978</v>
      </c>
      <c r="B16" s="28" t="str">
        <f aca="false">TEXT(A16,"yyyy-mm")</f>
        <v>2025-11</v>
      </c>
      <c r="C16" s="28" t="s">
        <v>221</v>
      </c>
      <c r="D16" s="28" t="s">
        <v>222</v>
      </c>
      <c r="E16" s="28" t="s">
        <v>223</v>
      </c>
      <c r="F16" s="28" t="s">
        <v>219</v>
      </c>
      <c r="G16" s="28" t="s">
        <v>224</v>
      </c>
      <c r="H16" s="29" t="n">
        <f aca="false">IF(J16&gt;0,J16,0)</f>
        <v>0</v>
      </c>
      <c r="I16" s="29" t="n">
        <f aca="false">IF(J16&lt;0,-J16,0)</f>
        <v>2139.83</v>
      </c>
      <c r="J16" s="30" t="n">
        <v>-2139.83</v>
      </c>
      <c r="K16" s="29" t="n">
        <f aca="false">K15+J16</f>
        <v>1291.76</v>
      </c>
      <c r="L16" s="30" t="n">
        <v>1291.76</v>
      </c>
      <c r="M16" s="29" t="n">
        <f aca="false">ROUND(K16-L16,2)</f>
        <v>0</v>
      </c>
      <c r="N16" s="28" t="s">
        <v>208</v>
      </c>
    </row>
    <row r="17" customFormat="false" ht="15" hidden="false" customHeight="true" outlineLevel="0" collapsed="false">
      <c r="A17" s="27" t="n">
        <v>45978</v>
      </c>
      <c r="B17" s="28" t="str">
        <f aca="false">TEXT(A17,"yyyy-mm")</f>
        <v>2025-11</v>
      </c>
      <c r="C17" s="28" t="s">
        <v>221</v>
      </c>
      <c r="D17" s="28" t="s">
        <v>222</v>
      </c>
      <c r="E17" s="28" t="s">
        <v>225</v>
      </c>
      <c r="F17" s="28" t="s">
        <v>219</v>
      </c>
      <c r="G17" s="28" t="s">
        <v>226</v>
      </c>
      <c r="H17" s="29" t="n">
        <f aca="false">IF(J17&gt;0,J17,0)</f>
        <v>0</v>
      </c>
      <c r="I17" s="29" t="n">
        <f aca="false">IF(J17&lt;0,-J17,0)</f>
        <v>1160.58</v>
      </c>
      <c r="J17" s="30" t="n">
        <v>-1160.58</v>
      </c>
      <c r="K17" s="29" t="n">
        <f aca="false">K16+J17</f>
        <v>131.18</v>
      </c>
      <c r="L17" s="30" t="n">
        <v>131.18</v>
      </c>
      <c r="M17" s="29" t="n">
        <f aca="false">ROUND(K17-L17,2)</f>
        <v>0</v>
      </c>
      <c r="N17" s="28" t="s">
        <v>208</v>
      </c>
    </row>
    <row r="18" customFormat="false" ht="15" hidden="false" customHeight="true" outlineLevel="0" collapsed="false">
      <c r="A18" s="27" t="n">
        <v>46007</v>
      </c>
      <c r="B18" s="28" t="str">
        <f aca="false">TEXT(A18,"yyyy-mm")</f>
        <v>2025-12</v>
      </c>
      <c r="C18" s="28" t="s">
        <v>213</v>
      </c>
      <c r="D18" s="28" t="s">
        <v>214</v>
      </c>
      <c r="E18" s="28" t="s">
        <v>214</v>
      </c>
      <c r="F18" s="28" t="s">
        <v>215</v>
      </c>
      <c r="G18" s="28" t="s">
        <v>216</v>
      </c>
      <c r="H18" s="29" t="n">
        <f aca="false">IF(J18&gt;0,J18,0)</f>
        <v>2000</v>
      </c>
      <c r="I18" s="29" t="n">
        <f aca="false">IF(J18&lt;0,-J18,0)</f>
        <v>0</v>
      </c>
      <c r="J18" s="30" t="n">
        <v>2000</v>
      </c>
      <c r="K18" s="29" t="n">
        <f aca="false">K17+J18</f>
        <v>2131.18</v>
      </c>
      <c r="L18" s="30" t="n">
        <v>2131.18</v>
      </c>
      <c r="M18" s="29" t="n">
        <f aca="false">ROUND(K18-L18,2)</f>
        <v>0</v>
      </c>
      <c r="N18" s="28" t="s">
        <v>229</v>
      </c>
    </row>
    <row r="19" customFormat="false" ht="15" hidden="false" customHeight="true" outlineLevel="0" collapsed="false">
      <c r="A19" s="27" t="n">
        <v>46007</v>
      </c>
      <c r="B19" s="28" t="str">
        <f aca="false">TEXT(A19,"yyyy-mm")</f>
        <v>2025-12</v>
      </c>
      <c r="C19" s="28" t="s">
        <v>195</v>
      </c>
      <c r="D19" s="28" t="s">
        <v>227</v>
      </c>
      <c r="E19" s="28" t="s">
        <v>228</v>
      </c>
      <c r="F19" s="28" t="s">
        <v>104</v>
      </c>
      <c r="G19" s="28" t="s">
        <v>128</v>
      </c>
      <c r="H19" s="29" t="n">
        <f aca="false">IF(J19&gt;0,J19,0)</f>
        <v>1100</v>
      </c>
      <c r="I19" s="29" t="n">
        <f aca="false">IF(J19&lt;0,-J19,0)</f>
        <v>0</v>
      </c>
      <c r="J19" s="30" t="n">
        <v>1100</v>
      </c>
      <c r="K19" s="29" t="n">
        <f aca="false">K18+J19</f>
        <v>3231.18</v>
      </c>
      <c r="L19" s="30" t="n">
        <v>3231.18</v>
      </c>
      <c r="M19" s="29" t="n">
        <f aca="false">ROUND(K19-L19,2)</f>
        <v>0</v>
      </c>
      <c r="N19" s="28" t="s">
        <v>229</v>
      </c>
    </row>
    <row r="20" customFormat="false" ht="15" hidden="false" customHeight="true" outlineLevel="0" collapsed="false">
      <c r="A20" s="27" t="n">
        <v>46007</v>
      </c>
      <c r="B20" s="28" t="str">
        <f aca="false">TEXT(A20,"yyyy-mm")</f>
        <v>2025-12</v>
      </c>
      <c r="C20" s="28" t="s">
        <v>195</v>
      </c>
      <c r="D20" s="28" t="s">
        <v>230</v>
      </c>
      <c r="E20" s="28" t="s">
        <v>231</v>
      </c>
      <c r="F20" s="28" t="s">
        <v>104</v>
      </c>
      <c r="G20" s="28" t="s">
        <v>128</v>
      </c>
      <c r="H20" s="29" t="n">
        <f aca="false">IF(J20&gt;0,J20,0)</f>
        <v>100</v>
      </c>
      <c r="I20" s="29" t="n">
        <f aca="false">IF(J20&lt;0,-J20,0)</f>
        <v>0</v>
      </c>
      <c r="J20" s="30" t="n">
        <v>100</v>
      </c>
      <c r="K20" s="29" t="n">
        <f aca="false">K19+J20</f>
        <v>3331.18</v>
      </c>
      <c r="L20" s="30" t="n">
        <v>3331.18</v>
      </c>
      <c r="M20" s="29" t="n">
        <f aca="false">ROUND(K20-L20,2)</f>
        <v>0</v>
      </c>
      <c r="N20" s="28" t="s">
        <v>229</v>
      </c>
    </row>
    <row r="21" customFormat="false" ht="15" hidden="false" customHeight="true" outlineLevel="0" collapsed="false">
      <c r="A21" s="27" t="n">
        <v>46008</v>
      </c>
      <c r="B21" s="28" t="str">
        <f aca="false">TEXT(A21,"yyyy-mm")</f>
        <v>2025-12</v>
      </c>
      <c r="C21" s="28" t="s">
        <v>221</v>
      </c>
      <c r="D21" s="28" t="s">
        <v>222</v>
      </c>
      <c r="E21" s="28" t="s">
        <v>225</v>
      </c>
      <c r="F21" s="28" t="s">
        <v>219</v>
      </c>
      <c r="G21" s="28" t="s">
        <v>226</v>
      </c>
      <c r="H21" s="29" t="n">
        <f aca="false">IF(J21&gt;0,J21,0)</f>
        <v>0</v>
      </c>
      <c r="I21" s="29" t="n">
        <f aca="false">IF(J21&lt;0,-J21,0)</f>
        <v>1160.58</v>
      </c>
      <c r="J21" s="30" t="n">
        <v>-1160.58</v>
      </c>
      <c r="K21" s="29" t="n">
        <f aca="false">K20+J21</f>
        <v>2170.6</v>
      </c>
      <c r="L21" s="30" t="n">
        <v>2170.6</v>
      </c>
      <c r="M21" s="29" t="n">
        <f aca="false">ROUND(K21-L21,2)</f>
        <v>0</v>
      </c>
      <c r="N21" s="28" t="s">
        <v>229</v>
      </c>
    </row>
    <row r="22" customFormat="false" ht="15" hidden="false" customHeight="true" outlineLevel="0" collapsed="false">
      <c r="A22" s="27" t="n">
        <v>46008</v>
      </c>
      <c r="B22" s="28" t="str">
        <f aca="false">TEXT(A22,"yyyy-mm")</f>
        <v>2025-12</v>
      </c>
      <c r="C22" s="28" t="s">
        <v>221</v>
      </c>
      <c r="D22" s="28" t="s">
        <v>222</v>
      </c>
      <c r="E22" s="28" t="s">
        <v>223</v>
      </c>
      <c r="F22" s="28" t="s">
        <v>219</v>
      </c>
      <c r="G22" s="28" t="s">
        <v>224</v>
      </c>
      <c r="H22" s="29" t="n">
        <f aca="false">IF(J22&gt;0,J22,0)</f>
        <v>0</v>
      </c>
      <c r="I22" s="29" t="n">
        <f aca="false">IF(J22&lt;0,-J22,0)</f>
        <v>2139.83</v>
      </c>
      <c r="J22" s="30" t="n">
        <v>-2139.83</v>
      </c>
      <c r="K22" s="29" t="n">
        <f aca="false">K21+J22</f>
        <v>30.7700000000004</v>
      </c>
      <c r="L22" s="30" t="n">
        <v>30.77</v>
      </c>
      <c r="M22" s="29" t="n">
        <f aca="false">ROUND(K22-L22,2)</f>
        <v>0</v>
      </c>
      <c r="N22" s="28" t="s">
        <v>229</v>
      </c>
    </row>
    <row r="23" customFormat="false" ht="15" hidden="false" customHeight="true" outlineLevel="0" collapsed="false">
      <c r="A23" s="27" t="n">
        <v>46008</v>
      </c>
      <c r="B23" s="28" t="str">
        <f aca="false">TEXT(A23,"yyyy-mm")</f>
        <v>2025-12</v>
      </c>
      <c r="C23" s="28" t="s">
        <v>195</v>
      </c>
      <c r="D23" s="28" t="s">
        <v>232</v>
      </c>
      <c r="E23" s="28" t="s">
        <v>233</v>
      </c>
      <c r="F23" s="28" t="s">
        <v>104</v>
      </c>
      <c r="G23" s="28" t="s">
        <v>234</v>
      </c>
      <c r="H23" s="29" t="n">
        <f aca="false">IF(J23&gt;0,J23,0)</f>
        <v>800</v>
      </c>
      <c r="I23" s="29" t="n">
        <f aca="false">IF(J23&lt;0,-J23,0)</f>
        <v>0</v>
      </c>
      <c r="J23" s="30" t="n">
        <v>800</v>
      </c>
      <c r="K23" s="29" t="n">
        <f aca="false">K22+J23</f>
        <v>830.77</v>
      </c>
      <c r="L23" s="30" t="n">
        <v>830.77</v>
      </c>
      <c r="M23" s="29" t="n">
        <f aca="false">ROUND(K23-L23,2)</f>
        <v>0</v>
      </c>
      <c r="N23" s="28" t="s">
        <v>229</v>
      </c>
    </row>
    <row r="24" customFormat="false" ht="15" hidden="false" customHeight="true" outlineLevel="0" collapsed="false">
      <c r="A24" s="27" t="n">
        <v>46015</v>
      </c>
      <c r="B24" s="28" t="str">
        <f aca="false">TEXT(A24,"yyyy-mm")</f>
        <v>2025-12</v>
      </c>
      <c r="C24" s="28" t="s">
        <v>195</v>
      </c>
      <c r="D24" s="28" t="s">
        <v>232</v>
      </c>
      <c r="E24" s="28" t="s">
        <v>233</v>
      </c>
      <c r="F24" s="28" t="s">
        <v>104</v>
      </c>
      <c r="G24" s="28" t="s">
        <v>234</v>
      </c>
      <c r="H24" s="29" t="n">
        <f aca="false">IF(J24&gt;0,J24,0)</f>
        <v>500</v>
      </c>
      <c r="I24" s="29" t="n">
        <f aca="false">IF(J24&lt;0,-J24,0)</f>
        <v>0</v>
      </c>
      <c r="J24" s="30" t="n">
        <v>500</v>
      </c>
      <c r="K24" s="29" t="n">
        <f aca="false">K23+J24</f>
        <v>1330.77</v>
      </c>
      <c r="L24" s="30" t="n">
        <v>1330.77</v>
      </c>
      <c r="M24" s="29" t="n">
        <f aca="false">ROUND(K24-L24,2)</f>
        <v>0</v>
      </c>
      <c r="N24" s="28" t="s">
        <v>229</v>
      </c>
    </row>
    <row r="25" customFormat="false" ht="15" hidden="false" customHeight="true" outlineLevel="0" collapsed="false">
      <c r="A25" s="27" t="n">
        <v>46015</v>
      </c>
      <c r="B25" s="28" t="str">
        <f aca="false">TEXT(A25,"yyyy-mm")</f>
        <v>2025-12</v>
      </c>
      <c r="C25" s="28" t="s">
        <v>195</v>
      </c>
      <c r="D25" s="28" t="s">
        <v>235</v>
      </c>
      <c r="E25" s="28" t="s">
        <v>235</v>
      </c>
      <c r="F25" s="28" t="s">
        <v>219</v>
      </c>
      <c r="G25" s="28" t="s">
        <v>220</v>
      </c>
      <c r="H25" s="29" t="n">
        <f aca="false">IF(J25&gt;0,J25,0)</f>
        <v>0</v>
      </c>
      <c r="I25" s="29" t="n">
        <f aca="false">IF(J25&lt;0,-J25,0)</f>
        <v>200</v>
      </c>
      <c r="J25" s="30" t="n">
        <v>-200</v>
      </c>
      <c r="K25" s="29" t="n">
        <f aca="false">K24+J25</f>
        <v>1130.77</v>
      </c>
      <c r="L25" s="30" t="n">
        <v>1130.77</v>
      </c>
      <c r="M25" s="29" t="n">
        <f aca="false">ROUND(K25-L25,2)</f>
        <v>0</v>
      </c>
      <c r="N25" s="28" t="s">
        <v>229</v>
      </c>
    </row>
    <row r="26" customFormat="false" ht="15" hidden="false" customHeight="true" outlineLevel="0" collapsed="false">
      <c r="A26" s="27" t="n">
        <v>46021</v>
      </c>
      <c r="B26" s="28" t="str">
        <f aca="false">TEXT(A26,"yyyy-mm")</f>
        <v>2025-12</v>
      </c>
      <c r="C26" s="28" t="s">
        <v>195</v>
      </c>
      <c r="D26" s="28" t="s">
        <v>232</v>
      </c>
      <c r="E26" s="28" t="s">
        <v>233</v>
      </c>
      <c r="F26" s="28" t="s">
        <v>104</v>
      </c>
      <c r="G26" s="28" t="s">
        <v>234</v>
      </c>
      <c r="H26" s="29" t="n">
        <f aca="false">IF(J26&gt;0,J26,0)</f>
        <v>800</v>
      </c>
      <c r="I26" s="29" t="n">
        <f aca="false">IF(J26&lt;0,-J26,0)</f>
        <v>0</v>
      </c>
      <c r="J26" s="30" t="n">
        <v>800</v>
      </c>
      <c r="K26" s="29" t="n">
        <f aca="false">K25+J26</f>
        <v>1930.77</v>
      </c>
      <c r="L26" s="30" t="n">
        <v>1930.77</v>
      </c>
      <c r="M26" s="29" t="n">
        <f aca="false">ROUND(K26-L26,2)</f>
        <v>0</v>
      </c>
      <c r="N26" s="28" t="s">
        <v>229</v>
      </c>
    </row>
    <row r="27" customFormat="false" ht="15" hidden="false" customHeight="true" outlineLevel="0" collapsed="false">
      <c r="A27" s="27" t="n">
        <v>46028</v>
      </c>
      <c r="B27" s="28" t="str">
        <f aca="false">TEXT(A27,"yyyy-mm")</f>
        <v>2026-01</v>
      </c>
      <c r="C27" s="28" t="s">
        <v>195</v>
      </c>
      <c r="D27" s="28" t="s">
        <v>232</v>
      </c>
      <c r="E27" s="28" t="s">
        <v>233</v>
      </c>
      <c r="F27" s="28" t="s">
        <v>104</v>
      </c>
      <c r="G27" s="28" t="s">
        <v>234</v>
      </c>
      <c r="H27" s="29" t="n">
        <f aca="false">IF(J27&gt;0,J27,0)</f>
        <v>900</v>
      </c>
      <c r="I27" s="29" t="n">
        <f aca="false">IF(J27&lt;0,-J27,0)</f>
        <v>0</v>
      </c>
      <c r="J27" s="30" t="n">
        <v>900</v>
      </c>
      <c r="K27" s="29" t="n">
        <f aca="false">K26+J27</f>
        <v>2830.77</v>
      </c>
      <c r="L27" s="30" t="n">
        <v>2830.77</v>
      </c>
      <c r="M27" s="29" t="n">
        <f aca="false">ROUND(K27-L27,2)</f>
        <v>0</v>
      </c>
      <c r="N27" s="28" t="s">
        <v>229</v>
      </c>
    </row>
    <row r="28" customFormat="false" ht="15" hidden="false" customHeight="true" outlineLevel="0" collapsed="false">
      <c r="A28" s="27" t="n">
        <v>46038</v>
      </c>
      <c r="B28" s="28" t="str">
        <f aca="false">TEXT(A28,"yyyy-mm")</f>
        <v>2026-01</v>
      </c>
      <c r="C28" s="28" t="s">
        <v>195</v>
      </c>
      <c r="D28" s="28" t="s">
        <v>232</v>
      </c>
      <c r="E28" s="28" t="s">
        <v>233</v>
      </c>
      <c r="F28" s="28" t="s">
        <v>104</v>
      </c>
      <c r="G28" s="28" t="s">
        <v>234</v>
      </c>
      <c r="H28" s="29" t="n">
        <f aca="false">IF(J28&gt;0,J28,0)</f>
        <v>400</v>
      </c>
      <c r="I28" s="29" t="n">
        <f aca="false">IF(J28&lt;0,-J28,0)</f>
        <v>0</v>
      </c>
      <c r="J28" s="30" t="n">
        <v>400</v>
      </c>
      <c r="K28" s="29" t="n">
        <f aca="false">K27+J28</f>
        <v>3230.77</v>
      </c>
      <c r="L28" s="30" t="n">
        <v>3230.77</v>
      </c>
      <c r="M28" s="29" t="n">
        <f aca="false">ROUND(K28-L28,2)</f>
        <v>0</v>
      </c>
      <c r="N28" s="28" t="s">
        <v>229</v>
      </c>
    </row>
    <row r="29" customFormat="false" ht="15" hidden="false" customHeight="true" outlineLevel="0" collapsed="false">
      <c r="A29" s="27" t="n">
        <v>46038</v>
      </c>
      <c r="B29" s="28" t="str">
        <f aca="false">TEXT(A29,"yyyy-mm")</f>
        <v>2026-01</v>
      </c>
      <c r="C29" s="28" t="s">
        <v>195</v>
      </c>
      <c r="D29" s="28" t="s">
        <v>236</v>
      </c>
      <c r="E29" s="28" t="s">
        <v>237</v>
      </c>
      <c r="F29" s="28" t="s">
        <v>215</v>
      </c>
      <c r="G29" s="28" t="s">
        <v>216</v>
      </c>
      <c r="H29" s="29" t="n">
        <f aca="false">IF(J29&gt;0,J29,0)</f>
        <v>200</v>
      </c>
      <c r="I29" s="29" t="n">
        <f aca="false">IF(J29&lt;0,-J29,0)</f>
        <v>0</v>
      </c>
      <c r="J29" s="30" t="n">
        <v>200</v>
      </c>
      <c r="K29" s="29" t="n">
        <f aca="false">K28+J29</f>
        <v>3430.77</v>
      </c>
      <c r="L29" s="30" t="n">
        <v>3430.77</v>
      </c>
      <c r="M29" s="29" t="n">
        <f aca="false">ROUND(K29-L29,2)</f>
        <v>0</v>
      </c>
      <c r="N29" s="28" t="s">
        <v>229</v>
      </c>
    </row>
    <row r="30" customFormat="false" ht="15" hidden="false" customHeight="true" outlineLevel="0" collapsed="false">
      <c r="A30" s="27" t="n">
        <v>46040</v>
      </c>
      <c r="B30" s="28" t="str">
        <f aca="false">TEXT(A30,"yyyy-mm")</f>
        <v>2026-01</v>
      </c>
      <c r="C30" s="28" t="s">
        <v>195</v>
      </c>
      <c r="D30" s="28" t="s">
        <v>238</v>
      </c>
      <c r="E30" s="28" t="s">
        <v>239</v>
      </c>
      <c r="F30" s="28" t="s">
        <v>104</v>
      </c>
      <c r="G30" s="28" t="s">
        <v>203</v>
      </c>
      <c r="H30" s="29" t="n">
        <f aca="false">IF(J30&gt;0,J30,0)</f>
        <v>300</v>
      </c>
      <c r="I30" s="29" t="n">
        <f aca="false">IF(J30&lt;0,-J30,0)</f>
        <v>0</v>
      </c>
      <c r="J30" s="30" t="n">
        <v>300</v>
      </c>
      <c r="K30" s="29" t="n">
        <f aca="false">K29+J30</f>
        <v>3730.77</v>
      </c>
      <c r="L30" s="30" t="n">
        <v>3730.77</v>
      </c>
      <c r="M30" s="29" t="n">
        <f aca="false">ROUND(K30-L30,2)</f>
        <v>0</v>
      </c>
      <c r="N30" s="28" t="s">
        <v>229</v>
      </c>
    </row>
    <row r="31" customFormat="false" ht="15" hidden="false" customHeight="true" outlineLevel="0" collapsed="false">
      <c r="A31" s="27" t="n">
        <v>46041</v>
      </c>
      <c r="B31" s="28" t="str">
        <f aca="false">TEXT(A31,"yyyy-mm")</f>
        <v>2026-01</v>
      </c>
      <c r="C31" s="28" t="s">
        <v>221</v>
      </c>
      <c r="D31" s="28" t="s">
        <v>222</v>
      </c>
      <c r="E31" s="28" t="s">
        <v>225</v>
      </c>
      <c r="F31" s="28" t="s">
        <v>219</v>
      </c>
      <c r="G31" s="28" t="s">
        <v>226</v>
      </c>
      <c r="H31" s="29" t="n">
        <f aca="false">IF(J31&gt;0,J31,0)</f>
        <v>0</v>
      </c>
      <c r="I31" s="29" t="n">
        <f aca="false">IF(J31&lt;0,-J31,0)</f>
        <v>1160.58</v>
      </c>
      <c r="J31" s="30" t="n">
        <v>-1160.58</v>
      </c>
      <c r="K31" s="29" t="n">
        <f aca="false">K30+J31</f>
        <v>2570.19</v>
      </c>
      <c r="L31" s="30" t="n">
        <v>2570.19</v>
      </c>
      <c r="M31" s="29" t="n">
        <f aca="false">ROUND(K31-L31,2)</f>
        <v>0</v>
      </c>
      <c r="N31" s="28" t="s">
        <v>229</v>
      </c>
    </row>
    <row r="32" customFormat="false" ht="15" hidden="false" customHeight="true" outlineLevel="0" collapsed="false">
      <c r="A32" s="27" t="n">
        <v>46041</v>
      </c>
      <c r="B32" s="28" t="str">
        <f aca="false">TEXT(A32,"yyyy-mm")</f>
        <v>2026-01</v>
      </c>
      <c r="C32" s="28" t="s">
        <v>221</v>
      </c>
      <c r="D32" s="28" t="s">
        <v>222</v>
      </c>
      <c r="E32" s="28" t="s">
        <v>223</v>
      </c>
      <c r="F32" s="28" t="s">
        <v>219</v>
      </c>
      <c r="G32" s="28" t="s">
        <v>224</v>
      </c>
      <c r="H32" s="29" t="n">
        <f aca="false">IF(J32&gt;0,J32,0)</f>
        <v>0</v>
      </c>
      <c r="I32" s="29" t="n">
        <f aca="false">IF(J32&lt;0,-J32,0)</f>
        <v>2139.83</v>
      </c>
      <c r="J32" s="30" t="n">
        <v>-2139.83</v>
      </c>
      <c r="K32" s="29" t="n">
        <f aca="false">K31+J32</f>
        <v>430.360000000001</v>
      </c>
      <c r="L32" s="30" t="n">
        <v>430.36</v>
      </c>
      <c r="M32" s="29" t="n">
        <f aca="false">ROUND(K32-L32,2)</f>
        <v>0</v>
      </c>
      <c r="N32" s="28" t="s">
        <v>229</v>
      </c>
    </row>
    <row r="33" customFormat="false" ht="15" hidden="false" customHeight="true" outlineLevel="0" collapsed="false">
      <c r="A33" s="27" t="n">
        <v>46043</v>
      </c>
      <c r="B33" s="28" t="str">
        <f aca="false">TEXT(A33,"yyyy-mm")</f>
        <v>2026-01</v>
      </c>
      <c r="C33" s="28" t="s">
        <v>195</v>
      </c>
      <c r="D33" s="28" t="s">
        <v>232</v>
      </c>
      <c r="E33" s="28" t="s">
        <v>233</v>
      </c>
      <c r="F33" s="28" t="s">
        <v>104</v>
      </c>
      <c r="G33" s="28" t="s">
        <v>234</v>
      </c>
      <c r="H33" s="29" t="n">
        <f aca="false">IF(J33&gt;0,J33,0)</f>
        <v>600</v>
      </c>
      <c r="I33" s="29" t="n">
        <f aca="false">IF(J33&lt;0,-J33,0)</f>
        <v>0</v>
      </c>
      <c r="J33" s="30" t="n">
        <v>600</v>
      </c>
      <c r="K33" s="29" t="n">
        <f aca="false">K32+J33</f>
        <v>1030.36</v>
      </c>
      <c r="L33" s="30" t="n">
        <v>1030.36</v>
      </c>
      <c r="M33" s="29" t="n">
        <f aca="false">ROUND(K33-L33,2)</f>
        <v>0</v>
      </c>
      <c r="N33" s="28" t="s">
        <v>229</v>
      </c>
    </row>
    <row r="34" customFormat="false" ht="15" hidden="false" customHeight="true" outlineLevel="0" collapsed="false">
      <c r="A34" s="27" t="n">
        <v>46065</v>
      </c>
      <c r="B34" s="28" t="str">
        <f aca="false">TEXT(A34,"yyyy-mm")</f>
        <v>2026-02</v>
      </c>
      <c r="C34" s="28" t="s">
        <v>195</v>
      </c>
      <c r="D34" s="28" t="s">
        <v>240</v>
      </c>
      <c r="E34" s="28" t="s">
        <v>241</v>
      </c>
      <c r="F34" s="28" t="s">
        <v>104</v>
      </c>
      <c r="G34" s="28" t="s">
        <v>198</v>
      </c>
      <c r="H34" s="29" t="n">
        <f aca="false">IF(J34&gt;0,J34,0)</f>
        <v>1000</v>
      </c>
      <c r="I34" s="29" t="n">
        <f aca="false">IF(J34&lt;0,-J34,0)</f>
        <v>0</v>
      </c>
      <c r="J34" s="30" t="n">
        <v>1000</v>
      </c>
      <c r="K34" s="29" t="n">
        <f aca="false">K33+J34</f>
        <v>2030.36</v>
      </c>
      <c r="L34" s="30" t="n">
        <v>2030.36</v>
      </c>
      <c r="M34" s="29" t="n">
        <f aca="false">ROUND(K34-L34,2)</f>
        <v>0</v>
      </c>
      <c r="N34" s="28" t="s">
        <v>229</v>
      </c>
    </row>
    <row r="35" customFormat="false" ht="15" hidden="false" customHeight="true" outlineLevel="0" collapsed="false">
      <c r="A35" s="27" t="n">
        <v>46069</v>
      </c>
      <c r="B35" s="28" t="str">
        <f aca="false">TEXT(A35,"yyyy-mm")</f>
        <v>2026-02</v>
      </c>
      <c r="C35" s="28" t="s">
        <v>242</v>
      </c>
      <c r="D35" s="28" t="s">
        <v>243</v>
      </c>
      <c r="E35" s="28" t="s">
        <v>244</v>
      </c>
      <c r="F35" s="28" t="s">
        <v>215</v>
      </c>
      <c r="G35" s="28" t="s">
        <v>216</v>
      </c>
      <c r="H35" s="29" t="n">
        <f aca="false">IF(J35&gt;0,J35,0)</f>
        <v>1400</v>
      </c>
      <c r="I35" s="29" t="n">
        <f aca="false">IF(J35&lt;0,-J35,0)</f>
        <v>0</v>
      </c>
      <c r="J35" s="30" t="n">
        <v>1400</v>
      </c>
      <c r="K35" s="29" t="n">
        <f aca="false">K34+J35</f>
        <v>3430.36</v>
      </c>
      <c r="L35" s="30" t="n">
        <v>3430.36</v>
      </c>
      <c r="M35" s="29" t="n">
        <f aca="false">ROUND(K35-L35,2)</f>
        <v>0</v>
      </c>
      <c r="N35" s="28" t="s">
        <v>229</v>
      </c>
    </row>
    <row r="36" customFormat="false" ht="15" hidden="false" customHeight="true" outlineLevel="0" collapsed="false">
      <c r="A36" s="27" t="n">
        <v>46070</v>
      </c>
      <c r="B36" s="28" t="str">
        <f aca="false">TEXT(A36,"yyyy-mm")</f>
        <v>2026-02</v>
      </c>
      <c r="C36" s="28" t="s">
        <v>221</v>
      </c>
      <c r="D36" s="28" t="s">
        <v>222</v>
      </c>
      <c r="E36" s="28" t="s">
        <v>225</v>
      </c>
      <c r="F36" s="28" t="s">
        <v>219</v>
      </c>
      <c r="G36" s="28" t="s">
        <v>226</v>
      </c>
      <c r="H36" s="29" t="n">
        <f aca="false">IF(J36&gt;0,J36,0)</f>
        <v>0</v>
      </c>
      <c r="I36" s="29" t="n">
        <f aca="false">IF(J36&lt;0,-J36,0)</f>
        <v>1160.58</v>
      </c>
      <c r="J36" s="30" t="n">
        <v>-1160.58</v>
      </c>
      <c r="K36" s="29" t="n">
        <f aca="false">K35+J36</f>
        <v>2269.78</v>
      </c>
      <c r="L36" s="30" t="n">
        <v>2269.78</v>
      </c>
      <c r="M36" s="29" t="n">
        <f aca="false">ROUND(K36-L36,2)</f>
        <v>0</v>
      </c>
      <c r="N36" s="28" t="s">
        <v>229</v>
      </c>
    </row>
    <row r="37" customFormat="false" ht="15" hidden="false" customHeight="true" outlineLevel="0" collapsed="false">
      <c r="A37" s="27" t="n">
        <v>46070</v>
      </c>
      <c r="B37" s="28" t="str">
        <f aca="false">TEXT(A37,"yyyy-mm")</f>
        <v>2026-02</v>
      </c>
      <c r="C37" s="28" t="s">
        <v>221</v>
      </c>
      <c r="D37" s="28" t="s">
        <v>222</v>
      </c>
      <c r="E37" s="28" t="s">
        <v>223</v>
      </c>
      <c r="F37" s="28" t="s">
        <v>219</v>
      </c>
      <c r="G37" s="28" t="s">
        <v>224</v>
      </c>
      <c r="H37" s="29" t="n">
        <f aca="false">IF(J37&gt;0,J37,0)</f>
        <v>0</v>
      </c>
      <c r="I37" s="29" t="n">
        <f aca="false">IF(J37&lt;0,-J37,0)</f>
        <v>2139.83</v>
      </c>
      <c r="J37" s="30" t="n">
        <v>-2139.83</v>
      </c>
      <c r="K37" s="29" t="n">
        <f aca="false">K36+J37</f>
        <v>129.950000000001</v>
      </c>
      <c r="L37" s="30" t="n">
        <v>129.95</v>
      </c>
      <c r="M37" s="29" t="n">
        <f aca="false">ROUND(K37-L37,2)</f>
        <v>0</v>
      </c>
      <c r="N37" s="28" t="s">
        <v>229</v>
      </c>
    </row>
    <row r="38" customFormat="false" ht="15" hidden="false" customHeight="true" outlineLevel="0" collapsed="false">
      <c r="G38" s="26" t="s">
        <v>186</v>
      </c>
      <c r="H38" s="31" t="n">
        <f aca="false">SUM(H2:H37)</f>
        <v>24332</v>
      </c>
      <c r="I38" s="31" t="n">
        <f aca="false">SUM(I2:I37)</f>
        <v>24202.05</v>
      </c>
      <c r="J38" s="31" t="n">
        <f aca="false">SUM(J2:J37)</f>
        <v>129.950000000001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44"/>
    <col collapsed="false" customWidth="true" hidden="false" outlineLevel="0" max="8" min="2" style="17" width="13"/>
    <col collapsed="false" customWidth="true" hidden="false" outlineLevel="0" max="9" min="9" style="17" width="8"/>
    <col collapsed="false" customWidth="true" hidden="false" outlineLevel="0" max="10" min="10" style="17" width="70"/>
  </cols>
  <sheetData>
    <row r="1" customFormat="false" ht="17.25" hidden="false" customHeight="true" outlineLevel="0" collapsed="false">
      <c r="A1" s="18" t="s">
        <v>245</v>
      </c>
    </row>
    <row r="2" customFormat="false" ht="15" hidden="false" customHeight="true" outlineLevel="0" collapsed="false">
      <c r="A2" s="19" t="s">
        <v>246</v>
      </c>
    </row>
    <row r="4" customFormat="false" ht="15" hidden="false" customHeight="true" outlineLevel="0" collapsed="false">
      <c r="A4" s="32" t="s">
        <v>191</v>
      </c>
      <c r="B4" s="32" t="s">
        <v>174</v>
      </c>
      <c r="C4" s="32" t="s">
        <v>176</v>
      </c>
      <c r="D4" s="32" t="s">
        <v>178</v>
      </c>
      <c r="E4" s="32" t="s">
        <v>180</v>
      </c>
      <c r="F4" s="32" t="s">
        <v>183</v>
      </c>
      <c r="G4" s="32" t="s">
        <v>184</v>
      </c>
      <c r="H4" s="32" t="s">
        <v>247</v>
      </c>
      <c r="I4" s="32" t="s">
        <v>248</v>
      </c>
      <c r="J4" s="32" t="s">
        <v>249</v>
      </c>
    </row>
    <row r="5" customFormat="false" ht="15" hidden="false" customHeight="true" outlineLevel="0" collapsed="false">
      <c r="A5" s="21" t="s">
        <v>234</v>
      </c>
      <c r="B5" s="33" t="n">
        <f aca="false">SUMIFS('Monzo Transactions'!$J:$J,'Monzo Transactions'!$G:$G,$A5,'Monzo Transactions'!$B:$B,B$4)</f>
        <v>0</v>
      </c>
      <c r="C5" s="33" t="n">
        <f aca="false">SUMIFS('Monzo Transactions'!$J:$J,'Monzo Transactions'!$G:$G,$A5,'Monzo Transactions'!$B:$B,C$4)</f>
        <v>0</v>
      </c>
      <c r="D5" s="33" t="n">
        <f aca="false">SUMIFS('Monzo Transactions'!$J:$J,'Monzo Transactions'!$G:$G,$A5,'Monzo Transactions'!$B:$B,D$4)</f>
        <v>0</v>
      </c>
      <c r="E5" s="33" t="n">
        <f aca="false">SUMIFS('Monzo Transactions'!$J:$J,'Monzo Transactions'!$G:$G,$A5,'Monzo Transactions'!$B:$B,E$4)</f>
        <v>2100</v>
      </c>
      <c r="F5" s="33" t="n">
        <f aca="false">SUMIFS('Monzo Transactions'!$J:$J,'Monzo Transactions'!$G:$G,$A5,'Monzo Transactions'!$B:$B,F$4)</f>
        <v>1900</v>
      </c>
      <c r="G5" s="33" t="n">
        <f aca="false">SUMIFS('Monzo Transactions'!$J:$J,'Monzo Transactions'!$G:$G,$A5,'Monzo Transactions'!$B:$B,G$4)</f>
        <v>0</v>
      </c>
      <c r="H5" s="34" t="n">
        <f aca="false">SUM(B5:G5)</f>
        <v>4000</v>
      </c>
      <c r="I5" s="21" t="n">
        <f aca="false">COUNTIFS('Monzo Transactions'!$G:$G,$A5)</f>
        <v>6</v>
      </c>
      <c r="J5" s="35"/>
    </row>
    <row r="6" customFormat="false" ht="15" hidden="false" customHeight="true" outlineLevel="0" collapsed="false">
      <c r="A6" s="21" t="s">
        <v>216</v>
      </c>
      <c r="B6" s="33" t="n">
        <f aca="false">SUMIFS('Monzo Transactions'!$J:$J,'Monzo Transactions'!$G:$G,$A6,'Monzo Transactions'!$B:$B,B$4)</f>
        <v>0</v>
      </c>
      <c r="C6" s="33" t="n">
        <f aca="false">SUMIFS('Monzo Transactions'!$J:$J,'Monzo Transactions'!$G:$G,$A6,'Monzo Transactions'!$B:$B,C$4)</f>
        <v>-1000</v>
      </c>
      <c r="D6" s="33" t="n">
        <f aca="false">SUMIFS('Monzo Transactions'!$J:$J,'Monzo Transactions'!$G:$G,$A6,'Monzo Transactions'!$B:$B,D$4)</f>
        <v>0</v>
      </c>
      <c r="E6" s="33" t="n">
        <f aca="false">SUMIFS('Monzo Transactions'!$J:$J,'Monzo Transactions'!$G:$G,$A6,'Monzo Transactions'!$B:$B,E$4)</f>
        <v>2000</v>
      </c>
      <c r="F6" s="33" t="n">
        <f aca="false">SUMIFS('Monzo Transactions'!$J:$J,'Monzo Transactions'!$G:$G,$A6,'Monzo Transactions'!$B:$B,F$4)</f>
        <v>200</v>
      </c>
      <c r="G6" s="33" t="n">
        <f aca="false">SUMIFS('Monzo Transactions'!$J:$J,'Monzo Transactions'!$G:$G,$A6,'Monzo Transactions'!$B:$B,G$4)</f>
        <v>1400</v>
      </c>
      <c r="H6" s="34" t="n">
        <f aca="false">SUM(B6:G6)</f>
        <v>2600</v>
      </c>
      <c r="I6" s="21" t="n">
        <f aca="false">COUNTIFS('Monzo Transactions'!$G:$G,$A6)</f>
        <v>4</v>
      </c>
      <c r="J6" s="35" t="s">
        <v>250</v>
      </c>
    </row>
    <row r="7" customFormat="false" ht="15" hidden="false" customHeight="true" outlineLevel="0" collapsed="false">
      <c r="A7" s="21" t="s">
        <v>198</v>
      </c>
      <c r="B7" s="33" t="n">
        <f aca="false">SUMIFS('Monzo Transactions'!$J:$J,'Monzo Transactions'!$G:$G,$A7,'Monzo Transactions'!$B:$B,B$4)</f>
        <v>6400</v>
      </c>
      <c r="C7" s="33" t="n">
        <f aca="false">SUMIFS('Monzo Transactions'!$J:$J,'Monzo Transactions'!$G:$G,$A7,'Monzo Transactions'!$B:$B,C$4)</f>
        <v>0</v>
      </c>
      <c r="D7" s="33" t="n">
        <f aca="false">SUMIFS('Monzo Transactions'!$J:$J,'Monzo Transactions'!$G:$G,$A7,'Monzo Transactions'!$B:$B,D$4)</f>
        <v>0</v>
      </c>
      <c r="E7" s="33" t="n">
        <f aca="false">SUMIFS('Monzo Transactions'!$J:$J,'Monzo Transactions'!$G:$G,$A7,'Monzo Transactions'!$B:$B,E$4)</f>
        <v>0</v>
      </c>
      <c r="F7" s="33" t="n">
        <f aca="false">SUMIFS('Monzo Transactions'!$J:$J,'Monzo Transactions'!$G:$G,$A7,'Monzo Transactions'!$B:$B,F$4)</f>
        <v>0</v>
      </c>
      <c r="G7" s="33" t="n">
        <f aca="false">SUMIFS('Monzo Transactions'!$J:$J,'Monzo Transactions'!$G:$G,$A7,'Monzo Transactions'!$B:$B,G$4)</f>
        <v>1000</v>
      </c>
      <c r="H7" s="34" t="n">
        <f aca="false">SUM(B7:G7)</f>
        <v>7400</v>
      </c>
      <c r="I7" s="21" t="n">
        <f aca="false">COUNTIFS('Monzo Transactions'!$G:$G,$A7)</f>
        <v>3</v>
      </c>
      <c r="J7" s="35" t="s">
        <v>251</v>
      </c>
    </row>
    <row r="8" customFormat="false" ht="15" hidden="false" customHeight="true" outlineLevel="0" collapsed="false">
      <c r="A8" s="21" t="s">
        <v>203</v>
      </c>
      <c r="B8" s="33" t="n">
        <f aca="false">SUMIFS('Monzo Transactions'!$J:$J,'Monzo Transactions'!$G:$G,$A8,'Monzo Transactions'!$B:$B,B$4)</f>
        <v>1282</v>
      </c>
      <c r="C8" s="33" t="n">
        <f aca="false">SUMIFS('Monzo Transactions'!$J:$J,'Monzo Transactions'!$G:$G,$A8,'Monzo Transactions'!$B:$B,C$4)</f>
        <v>5550</v>
      </c>
      <c r="D8" s="33" t="n">
        <f aca="false">SUMIFS('Monzo Transactions'!$J:$J,'Monzo Transactions'!$G:$G,$A8,'Monzo Transactions'!$B:$B,D$4)</f>
        <v>0</v>
      </c>
      <c r="E8" s="33" t="n">
        <f aca="false">SUMIFS('Monzo Transactions'!$J:$J,'Monzo Transactions'!$G:$G,$A8,'Monzo Transactions'!$B:$B,E$4)</f>
        <v>0</v>
      </c>
      <c r="F8" s="33" t="n">
        <f aca="false">SUMIFS('Monzo Transactions'!$J:$J,'Monzo Transactions'!$G:$G,$A8,'Monzo Transactions'!$B:$B,F$4)</f>
        <v>300</v>
      </c>
      <c r="G8" s="33" t="n">
        <f aca="false">SUMIFS('Monzo Transactions'!$J:$J,'Monzo Transactions'!$G:$G,$A8,'Monzo Transactions'!$B:$B,G$4)</f>
        <v>0</v>
      </c>
      <c r="H8" s="34" t="n">
        <f aca="false">SUM(B8:G8)</f>
        <v>7132</v>
      </c>
      <c r="I8" s="21" t="n">
        <f aca="false">COUNTIFS('Monzo Transactions'!$G:$G,$A8)</f>
        <v>6</v>
      </c>
      <c r="J8" s="35" t="s">
        <v>252</v>
      </c>
    </row>
    <row r="9" customFormat="false" ht="15" hidden="false" customHeight="true" outlineLevel="0" collapsed="false">
      <c r="A9" s="21" t="s">
        <v>128</v>
      </c>
      <c r="B9" s="33" t="n">
        <f aca="false">SUMIFS('Monzo Transactions'!$J:$J,'Monzo Transactions'!$G:$G,$A9,'Monzo Transactions'!$B:$B,B$4)</f>
        <v>0</v>
      </c>
      <c r="C9" s="33" t="n">
        <f aca="false">SUMIFS('Monzo Transactions'!$J:$J,'Monzo Transactions'!$G:$G,$A9,'Monzo Transactions'!$B:$B,C$4)</f>
        <v>0</v>
      </c>
      <c r="D9" s="33" t="n">
        <f aca="false">SUMIFS('Monzo Transactions'!$J:$J,'Monzo Transactions'!$G:$G,$A9,'Monzo Transactions'!$B:$B,D$4)</f>
        <v>1000</v>
      </c>
      <c r="E9" s="33" t="n">
        <f aca="false">SUMIFS('Monzo Transactions'!$J:$J,'Monzo Transactions'!$G:$G,$A9,'Monzo Transactions'!$B:$B,E$4)</f>
        <v>1200</v>
      </c>
      <c r="F9" s="33" t="n">
        <f aca="false">SUMIFS('Monzo Transactions'!$J:$J,'Monzo Transactions'!$G:$G,$A9,'Monzo Transactions'!$B:$B,F$4)</f>
        <v>0</v>
      </c>
      <c r="G9" s="33" t="n">
        <f aca="false">SUMIFS('Monzo Transactions'!$J:$J,'Monzo Transactions'!$G:$G,$A9,'Monzo Transactions'!$B:$B,G$4)</f>
        <v>0</v>
      </c>
      <c r="H9" s="34" t="n">
        <f aca="false">SUM(B9:G9)</f>
        <v>2200</v>
      </c>
      <c r="I9" s="21" t="n">
        <f aca="false">COUNTIFS('Monzo Transactions'!$G:$G,$A9)</f>
        <v>3</v>
      </c>
      <c r="J9" s="35" t="s">
        <v>253</v>
      </c>
    </row>
    <row r="10" customFormat="false" ht="15" hidden="false" customHeight="true" outlineLevel="0" collapsed="false">
      <c r="A10" s="21" t="s">
        <v>207</v>
      </c>
      <c r="B10" s="33" t="n">
        <f aca="false">SUMIFS('Monzo Transactions'!$J:$J,'Monzo Transactions'!$G:$G,$A10,'Monzo Transactions'!$B:$B,B$4)</f>
        <v>-3000</v>
      </c>
      <c r="C10" s="33" t="n">
        <f aca="false">SUMIFS('Monzo Transactions'!$J:$J,'Monzo Transactions'!$G:$G,$A10,'Monzo Transactions'!$B:$B,C$4)</f>
        <v>-1500</v>
      </c>
      <c r="D10" s="33" t="n">
        <f aca="false">SUMIFS('Monzo Transactions'!$J:$J,'Monzo Transactions'!$G:$G,$A10,'Monzo Transactions'!$B:$B,D$4)</f>
        <v>0</v>
      </c>
      <c r="E10" s="33" t="n">
        <f aca="false">SUMIFS('Monzo Transactions'!$J:$J,'Monzo Transactions'!$G:$G,$A10,'Monzo Transactions'!$B:$B,E$4)</f>
        <v>0</v>
      </c>
      <c r="F10" s="33" t="n">
        <f aca="false">SUMIFS('Monzo Transactions'!$J:$J,'Monzo Transactions'!$G:$G,$A10,'Monzo Transactions'!$B:$B,F$4)</f>
        <v>0</v>
      </c>
      <c r="G10" s="33" t="n">
        <f aca="false">SUMIFS('Monzo Transactions'!$J:$J,'Monzo Transactions'!$G:$G,$A10,'Monzo Transactions'!$B:$B,G$4)</f>
        <v>0</v>
      </c>
      <c r="H10" s="34" t="n">
        <f aca="false">SUM(B10:G10)</f>
        <v>-4500</v>
      </c>
      <c r="I10" s="21" t="n">
        <f aca="false">COUNTIFS('Monzo Transactions'!$G:$G,$A10)</f>
        <v>2</v>
      </c>
      <c r="J10" s="35"/>
    </row>
    <row r="11" customFormat="false" ht="15" hidden="false" customHeight="true" outlineLevel="0" collapsed="false">
      <c r="A11" s="21" t="s">
        <v>226</v>
      </c>
      <c r="B11" s="33" t="n">
        <f aca="false">SUMIFS('Monzo Transactions'!$J:$J,'Monzo Transactions'!$G:$G,$A11,'Monzo Transactions'!$B:$B,B$4)</f>
        <v>0</v>
      </c>
      <c r="C11" s="33" t="n">
        <f aca="false">SUMIFS('Monzo Transactions'!$J:$J,'Monzo Transactions'!$G:$G,$A11,'Monzo Transactions'!$B:$B,C$4)</f>
        <v>-1160.58</v>
      </c>
      <c r="D11" s="33" t="n">
        <f aca="false">SUMIFS('Monzo Transactions'!$J:$J,'Monzo Transactions'!$G:$G,$A11,'Monzo Transactions'!$B:$B,D$4)</f>
        <v>-1160.58</v>
      </c>
      <c r="E11" s="33" t="n">
        <f aca="false">SUMIFS('Monzo Transactions'!$J:$J,'Monzo Transactions'!$G:$G,$A11,'Monzo Transactions'!$B:$B,E$4)</f>
        <v>-1160.58</v>
      </c>
      <c r="F11" s="33" t="n">
        <f aca="false">SUMIFS('Monzo Transactions'!$J:$J,'Monzo Transactions'!$G:$G,$A11,'Monzo Transactions'!$B:$B,F$4)</f>
        <v>-1160.58</v>
      </c>
      <c r="G11" s="33" t="n">
        <f aca="false">SUMIFS('Monzo Transactions'!$J:$J,'Monzo Transactions'!$G:$G,$A11,'Monzo Transactions'!$B:$B,G$4)</f>
        <v>-1160.58</v>
      </c>
      <c r="H11" s="34" t="n">
        <f aca="false">SUM(B11:G11)</f>
        <v>-5802.9</v>
      </c>
      <c r="I11" s="21" t="n">
        <f aca="false">COUNTIFS('Monzo Transactions'!$G:$G,$A11)</f>
        <v>5</v>
      </c>
      <c r="J11" s="35"/>
    </row>
    <row r="12" customFormat="false" ht="15" hidden="false" customHeight="true" outlineLevel="0" collapsed="false">
      <c r="A12" s="21" t="s">
        <v>224</v>
      </c>
      <c r="B12" s="33" t="n">
        <f aca="false">SUMIFS('Monzo Transactions'!$J:$J,'Monzo Transactions'!$G:$G,$A12,'Monzo Transactions'!$B:$B,B$4)</f>
        <v>0</v>
      </c>
      <c r="C12" s="33" t="n">
        <f aca="false">SUMIFS('Monzo Transactions'!$J:$J,'Monzo Transactions'!$G:$G,$A12,'Monzo Transactions'!$B:$B,C$4)</f>
        <v>-2139.83</v>
      </c>
      <c r="D12" s="33" t="n">
        <f aca="false">SUMIFS('Monzo Transactions'!$J:$J,'Monzo Transactions'!$G:$G,$A12,'Monzo Transactions'!$B:$B,D$4)</f>
        <v>-2139.83</v>
      </c>
      <c r="E12" s="33" t="n">
        <f aca="false">SUMIFS('Monzo Transactions'!$J:$J,'Monzo Transactions'!$G:$G,$A12,'Monzo Transactions'!$B:$B,E$4)</f>
        <v>-2139.83</v>
      </c>
      <c r="F12" s="33" t="n">
        <f aca="false">SUMIFS('Monzo Transactions'!$J:$J,'Monzo Transactions'!$G:$G,$A12,'Monzo Transactions'!$B:$B,F$4)</f>
        <v>-2139.83</v>
      </c>
      <c r="G12" s="33" t="n">
        <f aca="false">SUMIFS('Monzo Transactions'!$J:$J,'Monzo Transactions'!$G:$G,$A12,'Monzo Transactions'!$B:$B,G$4)</f>
        <v>-2139.83</v>
      </c>
      <c r="H12" s="34" t="n">
        <f aca="false">SUM(B12:G12)</f>
        <v>-10699.15</v>
      </c>
      <c r="I12" s="21" t="n">
        <f aca="false">COUNTIFS('Monzo Transactions'!$G:$G,$A12)</f>
        <v>5</v>
      </c>
      <c r="J12" s="35"/>
    </row>
    <row r="13" customFormat="false" ht="15" hidden="false" customHeight="true" outlineLevel="0" collapsed="false">
      <c r="A13" s="21" t="s">
        <v>220</v>
      </c>
      <c r="B13" s="33" t="n">
        <f aca="false">SUMIFS('Monzo Transactions'!$J:$J,'Monzo Transactions'!$G:$G,$A13,'Monzo Transactions'!$B:$B,B$4)</f>
        <v>0</v>
      </c>
      <c r="C13" s="33" t="n">
        <f aca="false">SUMIFS('Monzo Transactions'!$J:$J,'Monzo Transactions'!$G:$G,$A13,'Monzo Transactions'!$B:$B,C$4)</f>
        <v>-2000</v>
      </c>
      <c r="D13" s="33" t="n">
        <f aca="false">SUMIFS('Monzo Transactions'!$J:$J,'Monzo Transactions'!$G:$G,$A13,'Monzo Transactions'!$B:$B,D$4)</f>
        <v>0</v>
      </c>
      <c r="E13" s="33" t="n">
        <f aca="false">SUMIFS('Monzo Transactions'!$J:$J,'Monzo Transactions'!$G:$G,$A13,'Monzo Transactions'!$B:$B,E$4)</f>
        <v>-200</v>
      </c>
      <c r="F13" s="33" t="n">
        <f aca="false">SUMIFS('Monzo Transactions'!$J:$J,'Monzo Transactions'!$G:$G,$A13,'Monzo Transactions'!$B:$B,F$4)</f>
        <v>0</v>
      </c>
      <c r="G13" s="33" t="n">
        <f aca="false">SUMIFS('Monzo Transactions'!$J:$J,'Monzo Transactions'!$G:$G,$A13,'Monzo Transactions'!$B:$B,G$4)</f>
        <v>0</v>
      </c>
      <c r="H13" s="34" t="n">
        <f aca="false">SUM(B13:G13)</f>
        <v>-2200</v>
      </c>
      <c r="I13" s="21" t="n">
        <f aca="false">COUNTIFS('Monzo Transactions'!$G:$G,$A13)</f>
        <v>2</v>
      </c>
      <c r="J13" s="35" t="s">
        <v>254</v>
      </c>
    </row>
    <row r="14" customFormat="false" ht="15" hidden="false" customHeight="true" outlineLevel="0" collapsed="false">
      <c r="A14" s="25" t="s">
        <v>255</v>
      </c>
      <c r="B14" s="25" t="n">
        <f aca="false">SUM(B5:B13)</f>
        <v>4682</v>
      </c>
      <c r="C14" s="25" t="n">
        <f aca="false">SUM(C5:C13)</f>
        <v>-2250.41</v>
      </c>
      <c r="D14" s="25" t="n">
        <f aca="false">SUM(D5:D13)</f>
        <v>-2300.41</v>
      </c>
      <c r="E14" s="25" t="n">
        <f aca="false">SUM(E5:E13)</f>
        <v>1799.59</v>
      </c>
      <c r="F14" s="25" t="n">
        <f aca="false">SUM(F5:F13)</f>
        <v>-900.41</v>
      </c>
      <c r="G14" s="25" t="n">
        <f aca="false">SUM(G5:G13)</f>
        <v>-900.41</v>
      </c>
      <c r="H14" s="25" t="n">
        <f aca="false">SUM(H5:H13)</f>
        <v>129.950000000001</v>
      </c>
      <c r="I14" s="36" t="n">
        <f aca="false">SUM(I5:I13)</f>
        <v>36</v>
      </c>
      <c r="J14" s="25"/>
    </row>
    <row r="15" customFormat="false" ht="15" hidden="false" customHeight="true" outlineLevel="0" collapsed="false">
      <c r="A15" s="19" t="s">
        <v>256</v>
      </c>
      <c r="B15" s="37" t="n">
        <f aca="false">ROUND(B14-('Monzo Reconciliation'!C5-'Monzo Reconciliation'!D5),2)</f>
        <v>0</v>
      </c>
      <c r="C15" s="37" t="n">
        <f aca="false">ROUND(C14-('Monzo Reconciliation'!C6-'Monzo Reconciliation'!D6),2)</f>
        <v>0</v>
      </c>
      <c r="D15" s="37" t="n">
        <f aca="false">ROUND(D14-('Monzo Reconciliation'!C7-'Monzo Reconciliation'!D7),2)</f>
        <v>0</v>
      </c>
      <c r="E15" s="37" t="n">
        <f aca="false">ROUND(E14-('Monzo Reconciliation'!C8-'Monzo Reconciliation'!D8),2)</f>
        <v>0</v>
      </c>
      <c r="F15" s="37" t="n">
        <f aca="false">ROUND(F14-('Monzo Reconciliation'!C9-'Monzo Reconciliation'!D9),2)</f>
        <v>0</v>
      </c>
      <c r="G15" s="37" t="n">
        <f aca="false">ROUND(G14-('Monzo Reconciliation'!C10-'Monzo Reconciliation'!D10),2)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40"/>
    <col collapsed="false" customWidth="true" hidden="false" outlineLevel="0" max="2" min="2" style="17" width="55"/>
    <col collapsed="false" customWidth="true" hidden="false" outlineLevel="0" max="3" min="3" style="17" width="15"/>
    <col collapsed="false" customWidth="true" hidden="false" outlineLevel="0" max="4" min="4" style="17" width="17"/>
    <col collapsed="false" customWidth="true" hidden="false" outlineLevel="0" max="5" min="5" style="17" width="11"/>
    <col collapsed="false" customWidth="true" hidden="false" outlineLevel="0" max="6" min="6" style="17" width="17"/>
    <col collapsed="false" customWidth="true" hidden="false" outlineLevel="0" max="7" min="7" style="17" width="44"/>
  </cols>
  <sheetData>
    <row r="1" customFormat="false" ht="30" hidden="false" customHeight="true" outlineLevel="0" collapsed="false">
      <c r="A1" s="20" t="s">
        <v>257</v>
      </c>
      <c r="B1" s="20" t="s">
        <v>258</v>
      </c>
      <c r="C1" s="20" t="s">
        <v>259</v>
      </c>
      <c r="D1" s="20" t="s">
        <v>260</v>
      </c>
      <c r="E1" s="20" t="s">
        <v>261</v>
      </c>
      <c r="F1" s="20" t="s">
        <v>262</v>
      </c>
      <c r="G1" s="20" t="s">
        <v>263</v>
      </c>
    </row>
    <row r="2" customFormat="false" ht="15" hidden="false" customHeight="true" outlineLevel="0" collapsed="false">
      <c r="A2" s="28" t="s">
        <v>264</v>
      </c>
      <c r="B2" s="28" t="s">
        <v>265</v>
      </c>
      <c r="C2" s="30" t="n">
        <v>133528</v>
      </c>
      <c r="D2" s="30" t="n">
        <v>0</v>
      </c>
      <c r="E2" s="30" t="n">
        <v>0</v>
      </c>
      <c r="F2" s="29" t="n">
        <f aca="false">D2+E2</f>
        <v>0</v>
      </c>
      <c r="G2" s="28" t="s">
        <v>266</v>
      </c>
    </row>
    <row r="3" customFormat="false" ht="15" hidden="false" customHeight="true" outlineLevel="0" collapsed="false">
      <c r="A3" s="28" t="s">
        <v>264</v>
      </c>
      <c r="B3" s="28" t="s">
        <v>267</v>
      </c>
      <c r="C3" s="30" t="n">
        <v>100</v>
      </c>
      <c r="D3" s="30" t="n">
        <v>0</v>
      </c>
      <c r="E3" s="30" t="n">
        <v>0</v>
      </c>
      <c r="F3" s="29" t="n">
        <f aca="false">D3+E3</f>
        <v>0</v>
      </c>
      <c r="G3" s="28" t="s">
        <v>268</v>
      </c>
    </row>
    <row r="4" customFormat="false" ht="15" hidden="false" customHeight="true" outlineLevel="0" collapsed="false">
      <c r="A4" s="28" t="s">
        <v>264</v>
      </c>
      <c r="B4" s="28" t="s">
        <v>269</v>
      </c>
      <c r="C4" s="30" t="n">
        <v>0</v>
      </c>
      <c r="D4" s="30" t="n">
        <v>650</v>
      </c>
      <c r="E4" s="30" t="n">
        <v>130</v>
      </c>
      <c r="F4" s="29" t="n">
        <f aca="false">D4+E4</f>
        <v>780</v>
      </c>
      <c r="G4" s="28" t="s">
        <v>270</v>
      </c>
    </row>
    <row r="5" customFormat="false" ht="15" hidden="false" customHeight="true" outlineLevel="0" collapsed="false">
      <c r="A5" s="28" t="s">
        <v>264</v>
      </c>
      <c r="B5" s="28" t="s">
        <v>271</v>
      </c>
      <c r="C5" s="30" t="n">
        <v>0</v>
      </c>
      <c r="D5" s="30" t="n">
        <v>35</v>
      </c>
      <c r="E5" s="30" t="n">
        <v>7</v>
      </c>
      <c r="F5" s="29" t="n">
        <f aca="false">D5+E5</f>
        <v>42</v>
      </c>
      <c r="G5" s="28" t="s">
        <v>270</v>
      </c>
    </row>
    <row r="6" customFormat="false" ht="15" hidden="false" customHeight="true" outlineLevel="0" collapsed="false">
      <c r="A6" s="28" t="s">
        <v>264</v>
      </c>
      <c r="B6" s="28" t="s">
        <v>272</v>
      </c>
      <c r="C6" s="30" t="n">
        <v>0</v>
      </c>
      <c r="D6" s="30" t="n">
        <v>200</v>
      </c>
      <c r="E6" s="30" t="n">
        <v>40</v>
      </c>
      <c r="F6" s="29" t="n">
        <f aca="false">D6+E6</f>
        <v>240</v>
      </c>
      <c r="G6" s="28" t="s">
        <v>270</v>
      </c>
    </row>
    <row r="7" customFormat="false" ht="15" hidden="false" customHeight="true" outlineLevel="0" collapsed="false">
      <c r="A7" s="28" t="s">
        <v>264</v>
      </c>
      <c r="B7" s="28" t="s">
        <v>273</v>
      </c>
      <c r="C7" s="30" t="n">
        <v>0</v>
      </c>
      <c r="D7" s="30" t="n">
        <v>300</v>
      </c>
      <c r="E7" s="30" t="n">
        <v>60</v>
      </c>
      <c r="F7" s="29" t="n">
        <f aca="false">D7+E7</f>
        <v>360</v>
      </c>
      <c r="G7" s="28" t="s">
        <v>270</v>
      </c>
    </row>
    <row r="8" customFormat="false" ht="15" hidden="false" customHeight="true" outlineLevel="0" collapsed="false">
      <c r="A8" s="28" t="s">
        <v>264</v>
      </c>
      <c r="B8" s="28" t="s">
        <v>274</v>
      </c>
      <c r="C8" s="30" t="n">
        <v>0</v>
      </c>
      <c r="D8" s="30" t="n">
        <v>29</v>
      </c>
      <c r="E8" s="30" t="n">
        <v>0</v>
      </c>
      <c r="F8" s="29" t="n">
        <f aca="false">D8+E8</f>
        <v>29</v>
      </c>
      <c r="G8" s="28" t="s">
        <v>270</v>
      </c>
    </row>
    <row r="9" customFormat="false" ht="15" hidden="false" customHeight="true" outlineLevel="0" collapsed="false">
      <c r="A9" s="28" t="s">
        <v>264</v>
      </c>
      <c r="B9" s="28" t="s">
        <v>275</v>
      </c>
      <c r="C9" s="30" t="n">
        <v>0</v>
      </c>
      <c r="D9" s="30" t="n">
        <v>18</v>
      </c>
      <c r="E9" s="30" t="n">
        <v>0</v>
      </c>
      <c r="F9" s="29" t="n">
        <f aca="false">D9+E9</f>
        <v>18</v>
      </c>
      <c r="G9" s="28" t="s">
        <v>270</v>
      </c>
    </row>
    <row r="10" customFormat="false" ht="15" hidden="false" customHeight="true" outlineLevel="0" collapsed="false">
      <c r="A10" s="28" t="s">
        <v>264</v>
      </c>
      <c r="B10" s="28" t="s">
        <v>276</v>
      </c>
      <c r="C10" s="30" t="n">
        <v>0</v>
      </c>
      <c r="D10" s="30" t="n">
        <v>45</v>
      </c>
      <c r="E10" s="30" t="n">
        <v>0</v>
      </c>
      <c r="F10" s="29" t="n">
        <f aca="false">D10+E10</f>
        <v>45</v>
      </c>
      <c r="G10" s="28" t="s">
        <v>270</v>
      </c>
    </row>
    <row r="11" customFormat="false" ht="15" hidden="false" customHeight="true" outlineLevel="0" collapsed="false">
      <c r="A11" s="28" t="s">
        <v>264</v>
      </c>
      <c r="B11" s="28" t="s">
        <v>277</v>
      </c>
      <c r="C11" s="30" t="n">
        <v>0</v>
      </c>
      <c r="D11" s="30" t="n">
        <v>14</v>
      </c>
      <c r="E11" s="30" t="n">
        <v>0</v>
      </c>
      <c r="F11" s="29" t="n">
        <f aca="false">D11+E11</f>
        <v>14</v>
      </c>
      <c r="G11" s="28" t="s">
        <v>270</v>
      </c>
    </row>
    <row r="12" customFormat="false" ht="15" hidden="false" customHeight="true" outlineLevel="0" collapsed="false">
      <c r="A12" s="28" t="s">
        <v>264</v>
      </c>
      <c r="B12" s="28" t="s">
        <v>278</v>
      </c>
      <c r="C12" s="30" t="n">
        <v>0</v>
      </c>
      <c r="D12" s="30" t="n">
        <v>7</v>
      </c>
      <c r="E12" s="30" t="n">
        <v>0</v>
      </c>
      <c r="F12" s="29" t="n">
        <f aca="false">D12+E12</f>
        <v>7</v>
      </c>
      <c r="G12" s="28" t="s">
        <v>270</v>
      </c>
    </row>
    <row r="13" customFormat="false" ht="15" hidden="false" customHeight="true" outlineLevel="0" collapsed="false">
      <c r="A13" s="28" t="s">
        <v>264</v>
      </c>
      <c r="B13" s="28" t="s">
        <v>279</v>
      </c>
      <c r="C13" s="30" t="n">
        <v>0</v>
      </c>
      <c r="D13" s="30" t="n">
        <v>45</v>
      </c>
      <c r="E13" s="30" t="n">
        <v>0</v>
      </c>
      <c r="F13" s="29" t="n">
        <f aca="false">D13+E13</f>
        <v>45</v>
      </c>
      <c r="G13" s="28" t="s">
        <v>270</v>
      </c>
    </row>
    <row r="14" customFormat="false" ht="15" hidden="false" customHeight="true" outlineLevel="0" collapsed="false">
      <c r="A14" s="28" t="s">
        <v>264</v>
      </c>
      <c r="B14" s="28" t="s">
        <v>280</v>
      </c>
      <c r="C14" s="30" t="n">
        <v>0</v>
      </c>
      <c r="D14" s="30" t="n">
        <v>15</v>
      </c>
      <c r="E14" s="30" t="n">
        <v>0</v>
      </c>
      <c r="F14" s="29" t="n">
        <f aca="false">D14+E14</f>
        <v>15</v>
      </c>
      <c r="G14" s="28" t="s">
        <v>270</v>
      </c>
    </row>
    <row r="15" customFormat="false" ht="15" hidden="false" customHeight="true" outlineLevel="0" collapsed="false">
      <c r="A15" s="28" t="s">
        <v>264</v>
      </c>
      <c r="B15" s="28" t="s">
        <v>281</v>
      </c>
      <c r="C15" s="30" t="n">
        <v>0</v>
      </c>
      <c r="D15" s="30" t="n">
        <v>15</v>
      </c>
      <c r="E15" s="30" t="n">
        <v>0</v>
      </c>
      <c r="F15" s="29" t="n">
        <f aca="false">D15+E15</f>
        <v>15</v>
      </c>
      <c r="G15" s="28" t="s">
        <v>270</v>
      </c>
    </row>
    <row r="16" customFormat="false" ht="15" hidden="false" customHeight="true" outlineLevel="0" collapsed="false">
      <c r="A16" s="28" t="s">
        <v>264</v>
      </c>
      <c r="B16" s="28" t="s">
        <v>282</v>
      </c>
      <c r="C16" s="30" t="n">
        <v>0</v>
      </c>
      <c r="D16" s="30" t="n">
        <v>60</v>
      </c>
      <c r="E16" s="30" t="n">
        <v>0</v>
      </c>
      <c r="F16" s="29" t="n">
        <f aca="false">D16+E16</f>
        <v>60</v>
      </c>
      <c r="G16" s="28" t="s">
        <v>270</v>
      </c>
    </row>
    <row r="17" customFormat="false" ht="15" hidden="false" customHeight="true" outlineLevel="0" collapsed="false">
      <c r="A17" s="28" t="s">
        <v>264</v>
      </c>
      <c r="B17" s="28" t="s">
        <v>283</v>
      </c>
      <c r="C17" s="30" t="n">
        <v>0</v>
      </c>
      <c r="D17" s="30" t="n">
        <v>131958</v>
      </c>
      <c r="E17" s="30" t="n">
        <v>0</v>
      </c>
      <c r="F17" s="29" t="n">
        <f aca="false">D17+E17</f>
        <v>131958</v>
      </c>
      <c r="G17" s="28" t="s">
        <v>284</v>
      </c>
    </row>
    <row r="18" customFormat="false" ht="15" hidden="false" customHeight="true" outlineLevel="0" collapsed="false">
      <c r="A18" s="28" t="s">
        <v>285</v>
      </c>
      <c r="B18" s="28" t="s">
        <v>286</v>
      </c>
      <c r="C18" s="30" t="n">
        <v>0</v>
      </c>
      <c r="D18" s="30" t="n">
        <v>462000</v>
      </c>
      <c r="E18" s="30" t="n">
        <v>0</v>
      </c>
      <c r="F18" s="29" t="n">
        <f aca="false">D18+E18</f>
        <v>462000</v>
      </c>
      <c r="G18" s="28" t="s">
        <v>287</v>
      </c>
    </row>
    <row r="19" customFormat="false" ht="15" hidden="false" customHeight="true" outlineLevel="0" collapsed="false">
      <c r="A19" s="28" t="s">
        <v>285</v>
      </c>
      <c r="B19" s="28" t="s">
        <v>288</v>
      </c>
      <c r="C19" s="30" t="n">
        <v>400</v>
      </c>
      <c r="D19" s="30" t="n">
        <v>0</v>
      </c>
      <c r="E19" s="30" t="n">
        <v>0</v>
      </c>
      <c r="F19" s="29" t="n">
        <f aca="false">D19+E19</f>
        <v>0</v>
      </c>
      <c r="G19" s="28" t="s">
        <v>268</v>
      </c>
    </row>
    <row r="20" customFormat="false" ht="15" hidden="false" customHeight="true" outlineLevel="0" collapsed="false">
      <c r="A20" s="28" t="s">
        <v>285</v>
      </c>
      <c r="B20" s="28" t="s">
        <v>289</v>
      </c>
      <c r="C20" s="30" t="n">
        <v>311938.6</v>
      </c>
      <c r="D20" s="30" t="n">
        <v>0</v>
      </c>
      <c r="E20" s="30" t="n">
        <v>0</v>
      </c>
      <c r="F20" s="29" t="n">
        <f aca="false">D20+E20</f>
        <v>0</v>
      </c>
      <c r="G20" s="28" t="s">
        <v>290</v>
      </c>
    </row>
    <row r="21" customFormat="false" ht="15" hidden="false" customHeight="true" outlineLevel="0" collapsed="false">
      <c r="A21" s="28" t="s">
        <v>285</v>
      </c>
      <c r="B21" s="28" t="s">
        <v>291</v>
      </c>
      <c r="C21" s="30" t="n">
        <v>131958</v>
      </c>
      <c r="D21" s="30" t="n">
        <v>0</v>
      </c>
      <c r="E21" s="30" t="n">
        <v>0</v>
      </c>
      <c r="F21" s="29" t="n">
        <f aca="false">D21+E21</f>
        <v>0</v>
      </c>
      <c r="G21" s="28" t="s">
        <v>284</v>
      </c>
    </row>
    <row r="22" customFormat="false" ht="15" hidden="false" customHeight="true" outlineLevel="0" collapsed="false">
      <c r="A22" s="28" t="s">
        <v>285</v>
      </c>
      <c r="B22" s="28" t="s">
        <v>292</v>
      </c>
      <c r="C22" s="30" t="n">
        <v>18362.34</v>
      </c>
      <c r="D22" s="30" t="n">
        <v>0</v>
      </c>
      <c r="E22" s="30" t="n">
        <v>0</v>
      </c>
      <c r="F22" s="29" t="n">
        <f aca="false">D22+E22</f>
        <v>0</v>
      </c>
      <c r="G22" s="28" t="s">
        <v>293</v>
      </c>
    </row>
    <row r="23" customFormat="false" ht="15" hidden="false" customHeight="true" outlineLevel="0" collapsed="false">
      <c r="A23" s="28" t="s">
        <v>285</v>
      </c>
      <c r="B23" s="28" t="s">
        <v>294</v>
      </c>
      <c r="C23" s="30" t="n">
        <v>38000</v>
      </c>
      <c r="D23" s="30" t="n">
        <v>0</v>
      </c>
      <c r="E23" s="30" t="n">
        <v>0</v>
      </c>
      <c r="F23" s="29" t="n">
        <f aca="false">D23+E23</f>
        <v>0</v>
      </c>
      <c r="G23" s="28" t="s">
        <v>295</v>
      </c>
    </row>
    <row r="24" customFormat="false" ht="15" hidden="false" customHeight="true" outlineLevel="0" collapsed="false">
      <c r="A24" s="28" t="s">
        <v>285</v>
      </c>
      <c r="B24" s="28" t="s">
        <v>269</v>
      </c>
      <c r="C24" s="30" t="n">
        <v>0</v>
      </c>
      <c r="D24" s="30" t="n">
        <v>775</v>
      </c>
      <c r="E24" s="30" t="n">
        <v>155</v>
      </c>
      <c r="F24" s="29" t="n">
        <f aca="false">D24+E24</f>
        <v>930</v>
      </c>
      <c r="G24" s="28" t="s">
        <v>296</v>
      </c>
    </row>
    <row r="25" customFormat="false" ht="15" hidden="false" customHeight="true" outlineLevel="0" collapsed="false">
      <c r="A25" s="28" t="s">
        <v>285</v>
      </c>
      <c r="B25" s="28" t="s">
        <v>297</v>
      </c>
      <c r="C25" s="30" t="n">
        <v>0</v>
      </c>
      <c r="D25" s="30" t="n">
        <v>100</v>
      </c>
      <c r="E25" s="30" t="n">
        <v>20</v>
      </c>
      <c r="F25" s="29" t="n">
        <f aca="false">D25+E25</f>
        <v>120</v>
      </c>
      <c r="G25" s="28" t="s">
        <v>298</v>
      </c>
    </row>
    <row r="26" customFormat="false" ht="15" hidden="false" customHeight="true" outlineLevel="0" collapsed="false">
      <c r="A26" s="28" t="s">
        <v>285</v>
      </c>
      <c r="B26" s="28" t="s">
        <v>271</v>
      </c>
      <c r="C26" s="30" t="n">
        <v>0</v>
      </c>
      <c r="D26" s="30" t="n">
        <v>35</v>
      </c>
      <c r="E26" s="30" t="n">
        <v>7</v>
      </c>
      <c r="F26" s="29" t="n">
        <f aca="false">D26+E26</f>
        <v>42</v>
      </c>
      <c r="G26" s="28" t="s">
        <v>296</v>
      </c>
    </row>
    <row r="27" customFormat="false" ht="15" hidden="false" customHeight="true" outlineLevel="0" collapsed="false">
      <c r="A27" s="28" t="s">
        <v>285</v>
      </c>
      <c r="B27" s="28" t="s">
        <v>299</v>
      </c>
      <c r="C27" s="30" t="n">
        <v>0</v>
      </c>
      <c r="D27" s="30" t="n">
        <v>75</v>
      </c>
      <c r="E27" s="30" t="n">
        <v>15</v>
      </c>
      <c r="F27" s="29" t="n">
        <f aca="false">D27+E27</f>
        <v>90</v>
      </c>
      <c r="G27" s="28" t="s">
        <v>296</v>
      </c>
    </row>
    <row r="28" customFormat="false" ht="15" hidden="false" customHeight="true" outlineLevel="0" collapsed="false">
      <c r="A28" s="28" t="s">
        <v>285</v>
      </c>
      <c r="B28" s="28" t="s">
        <v>300</v>
      </c>
      <c r="C28" s="30" t="n">
        <v>0</v>
      </c>
      <c r="D28" s="30" t="n">
        <v>60</v>
      </c>
      <c r="E28" s="30" t="n">
        <v>12</v>
      </c>
      <c r="F28" s="29" t="n">
        <f aca="false">D28+E28</f>
        <v>72</v>
      </c>
      <c r="G28" s="28" t="s">
        <v>296</v>
      </c>
    </row>
    <row r="29" customFormat="false" ht="15" hidden="false" customHeight="true" outlineLevel="0" collapsed="false">
      <c r="A29" s="28" t="s">
        <v>285</v>
      </c>
      <c r="B29" s="28" t="s">
        <v>301</v>
      </c>
      <c r="C29" s="30" t="n">
        <v>0</v>
      </c>
      <c r="D29" s="30" t="n">
        <v>300</v>
      </c>
      <c r="E29" s="30" t="n">
        <v>60</v>
      </c>
      <c r="F29" s="29" t="n">
        <f aca="false">D29+E29</f>
        <v>360</v>
      </c>
      <c r="G29" s="28" t="s">
        <v>298</v>
      </c>
    </row>
    <row r="30" customFormat="false" ht="15" hidden="false" customHeight="true" outlineLevel="0" collapsed="false">
      <c r="A30" s="28" t="s">
        <v>285</v>
      </c>
      <c r="B30" s="28" t="s">
        <v>302</v>
      </c>
      <c r="C30" s="30" t="n">
        <v>0</v>
      </c>
      <c r="D30" s="30" t="n">
        <v>50</v>
      </c>
      <c r="E30" s="30" t="n">
        <v>10</v>
      </c>
      <c r="F30" s="29" t="n">
        <f aca="false">D30+E30</f>
        <v>60</v>
      </c>
      <c r="G30" s="28" t="s">
        <v>298</v>
      </c>
    </row>
    <row r="31" customFormat="false" ht="15" hidden="false" customHeight="true" outlineLevel="0" collapsed="false">
      <c r="A31" s="28" t="s">
        <v>285</v>
      </c>
      <c r="B31" s="28" t="s">
        <v>303</v>
      </c>
      <c r="C31" s="30" t="n">
        <v>0</v>
      </c>
      <c r="D31" s="30" t="n">
        <v>7</v>
      </c>
      <c r="E31" s="30" t="n">
        <v>0</v>
      </c>
      <c r="F31" s="29" t="n">
        <f aca="false">D31+E31</f>
        <v>7</v>
      </c>
      <c r="G31" s="28" t="s">
        <v>296</v>
      </c>
    </row>
    <row r="32" customFormat="false" ht="15" hidden="false" customHeight="true" outlineLevel="0" collapsed="false">
      <c r="A32" s="28" t="s">
        <v>285</v>
      </c>
      <c r="B32" s="28" t="s">
        <v>304</v>
      </c>
      <c r="C32" s="30" t="n">
        <v>0</v>
      </c>
      <c r="D32" s="30" t="n">
        <v>18</v>
      </c>
      <c r="E32" s="30" t="n">
        <v>0</v>
      </c>
      <c r="F32" s="29" t="n">
        <f aca="false">D32+E32</f>
        <v>18</v>
      </c>
      <c r="G32" s="28" t="s">
        <v>296</v>
      </c>
    </row>
    <row r="33" customFormat="false" ht="15" hidden="false" customHeight="true" outlineLevel="0" collapsed="false">
      <c r="A33" s="28" t="s">
        <v>285</v>
      </c>
      <c r="B33" s="28" t="s">
        <v>276</v>
      </c>
      <c r="C33" s="30" t="n">
        <v>0</v>
      </c>
      <c r="D33" s="30" t="n">
        <v>45</v>
      </c>
      <c r="E33" s="30" t="n">
        <v>0</v>
      </c>
      <c r="F33" s="29" t="n">
        <f aca="false">D33+E33</f>
        <v>45</v>
      </c>
      <c r="G33" s="28" t="s">
        <v>296</v>
      </c>
    </row>
    <row r="34" customFormat="false" ht="15" hidden="false" customHeight="true" outlineLevel="0" collapsed="false">
      <c r="A34" s="28" t="s">
        <v>285</v>
      </c>
      <c r="B34" s="28" t="s">
        <v>305</v>
      </c>
      <c r="C34" s="30" t="n">
        <v>0</v>
      </c>
      <c r="D34" s="30" t="n">
        <v>109.66</v>
      </c>
      <c r="E34" s="30" t="n">
        <v>0</v>
      </c>
      <c r="F34" s="29" t="n">
        <f aca="false">D34+E34</f>
        <v>109.66</v>
      </c>
      <c r="G34" s="28" t="s">
        <v>296</v>
      </c>
    </row>
    <row r="35" customFormat="false" ht="15" hidden="false" customHeight="true" outlineLevel="0" collapsed="false">
      <c r="A35" s="28" t="s">
        <v>285</v>
      </c>
      <c r="B35" s="28" t="s">
        <v>279</v>
      </c>
      <c r="C35" s="30" t="n">
        <v>0</v>
      </c>
      <c r="D35" s="30" t="n">
        <v>150</v>
      </c>
      <c r="E35" s="30" t="n">
        <v>0</v>
      </c>
      <c r="F35" s="29" t="n">
        <f aca="false">D35+E35</f>
        <v>150</v>
      </c>
      <c r="G35" s="28" t="s">
        <v>296</v>
      </c>
    </row>
    <row r="36" customFormat="false" ht="15" hidden="false" customHeight="true" outlineLevel="0" collapsed="false">
      <c r="A36" s="28" t="s">
        <v>285</v>
      </c>
      <c r="B36" s="28" t="s">
        <v>306</v>
      </c>
      <c r="C36" s="30" t="n">
        <v>0</v>
      </c>
      <c r="D36" s="30" t="n">
        <v>36200</v>
      </c>
      <c r="E36" s="30" t="n">
        <v>0</v>
      </c>
      <c r="F36" s="29" t="n">
        <f aca="false">D36+E36</f>
        <v>36200</v>
      </c>
      <c r="G36" s="28" t="s">
        <v>307</v>
      </c>
    </row>
    <row r="37" customFormat="false" ht="15" hidden="false" customHeight="true" outlineLevel="0" collapsed="false">
      <c r="A37" s="28" t="s">
        <v>285</v>
      </c>
      <c r="B37" s="28" t="s">
        <v>308</v>
      </c>
      <c r="C37" s="30" t="n">
        <v>0</v>
      </c>
      <c r="D37" s="30" t="n">
        <v>200.28</v>
      </c>
      <c r="E37" s="30" t="n">
        <v>0</v>
      </c>
      <c r="F37" s="29" t="n">
        <f aca="false">D37+E37</f>
        <v>200.28</v>
      </c>
      <c r="G37" s="28" t="s">
        <v>296</v>
      </c>
    </row>
    <row r="38" customFormat="false" ht="15" hidden="false" customHeight="true" outlineLevel="0" collapsed="false">
      <c r="A38" s="28" t="s">
        <v>285</v>
      </c>
      <c r="B38" s="28" t="s">
        <v>309</v>
      </c>
      <c r="C38" s="30" t="n">
        <v>0</v>
      </c>
      <c r="D38" s="30" t="n">
        <v>60</v>
      </c>
      <c r="E38" s="30" t="n">
        <v>0</v>
      </c>
      <c r="F38" s="29" t="n">
        <f aca="false">D38+E38</f>
        <v>60</v>
      </c>
      <c r="G38" s="28" t="s">
        <v>296</v>
      </c>
    </row>
    <row r="39" customFormat="false" ht="15" hidden="false" customHeight="true" outlineLevel="0" collapsed="false">
      <c r="A39" s="28" t="s">
        <v>285</v>
      </c>
      <c r="B39" s="28" t="s">
        <v>310</v>
      </c>
      <c r="C39" s="30" t="n">
        <v>0</v>
      </c>
      <c r="D39" s="30" t="n">
        <v>15</v>
      </c>
      <c r="E39" s="30" t="n">
        <v>0</v>
      </c>
      <c r="F39" s="29" t="n">
        <f aca="false">D39+E39</f>
        <v>15</v>
      </c>
      <c r="G39" s="28" t="s">
        <v>298</v>
      </c>
    </row>
    <row r="40" customFormat="false" ht="15" hidden="false" customHeight="true" outlineLevel="0" collapsed="false">
      <c r="A40" s="28" t="s">
        <v>285</v>
      </c>
      <c r="B40" s="28" t="s">
        <v>311</v>
      </c>
      <c r="C40" s="30" t="n">
        <v>0</v>
      </c>
      <c r="D40" s="30" t="n">
        <v>20</v>
      </c>
      <c r="E40" s="30" t="n">
        <v>0</v>
      </c>
      <c r="F40" s="29" t="n">
        <f aca="false">D40+E40</f>
        <v>20</v>
      </c>
      <c r="G40" s="28" t="s">
        <v>296</v>
      </c>
    </row>
    <row r="41" customFormat="false" ht="15" hidden="false" customHeight="true" outlineLevel="0" collapsed="false">
      <c r="A41" s="28" t="s">
        <v>285</v>
      </c>
      <c r="B41" s="28" t="s">
        <v>312</v>
      </c>
      <c r="C41" s="30" t="n">
        <v>0</v>
      </c>
      <c r="D41" s="30" t="n">
        <v>160</v>
      </c>
      <c r="E41" s="30" t="n">
        <v>0</v>
      </c>
      <c r="F41" s="29" t="n">
        <f aca="false">D41+E41</f>
        <v>160</v>
      </c>
      <c r="G41" s="28" t="s">
        <v>298</v>
      </c>
    </row>
    <row r="43" customFormat="false" ht="15" hidden="false" customHeight="true" outlineLevel="0" collapsed="false">
      <c r="A43" s="26" t="s">
        <v>313</v>
      </c>
    </row>
    <row r="44" customFormat="false" ht="15" hidden="false" customHeight="true" outlineLevel="0" collapsed="false">
      <c r="A44" s="32" t="s">
        <v>257</v>
      </c>
      <c r="B44" s="38"/>
      <c r="C44" s="32" t="s">
        <v>314</v>
      </c>
      <c r="D44" s="32" t="s">
        <v>315</v>
      </c>
      <c r="E44" s="32" t="s">
        <v>316</v>
      </c>
      <c r="F44" s="32" t="s">
        <v>317</v>
      </c>
      <c r="G44" s="32" t="s">
        <v>172</v>
      </c>
    </row>
    <row r="45" customFormat="false" ht="15" hidden="false" customHeight="true" outlineLevel="0" collapsed="false">
      <c r="A45" s="28" t="s">
        <v>264</v>
      </c>
      <c r="B45" s="19" t="s">
        <v>318</v>
      </c>
      <c r="C45" s="29" t="n">
        <f aca="false">SUMIFS($C$2:$C$41,$A$2:$A$41,$A45)</f>
        <v>133628</v>
      </c>
      <c r="D45" s="30" t="n">
        <v>133628</v>
      </c>
      <c r="E45" s="29" t="n">
        <f aca="false">SUMIFS($F$2:$F$41,$A$2:$A$41,$A45)</f>
        <v>133628</v>
      </c>
      <c r="F45" s="30" t="n">
        <v>133628</v>
      </c>
      <c r="G45" s="26" t="str">
        <f aca="false">IF(AND(ROUND(C45-D45,2)=0,ROUND(E45-F45,2)=0,ROUND(C45-E45,2)=0),"Agrees – balances to £0","CHECK")</f>
        <v>Agrees – balances to £0</v>
      </c>
    </row>
    <row r="46" customFormat="false" ht="15" hidden="false" customHeight="true" outlineLevel="0" collapsed="false">
      <c r="A46" s="28" t="s">
        <v>285</v>
      </c>
      <c r="B46" s="19" t="s">
        <v>319</v>
      </c>
      <c r="C46" s="29" t="n">
        <f aca="false">SUMIFS($C$2:$C$41,$A$2:$A$41,$A46)</f>
        <v>500658.94</v>
      </c>
      <c r="D46" s="30" t="n">
        <v>500658.94</v>
      </c>
      <c r="E46" s="29" t="n">
        <f aca="false">SUMIFS($F$2:$F$41,$A$2:$A$41,$A46)</f>
        <v>500658.94</v>
      </c>
      <c r="F46" s="30" t="n">
        <v>500658.94</v>
      </c>
      <c r="G46" s="26" t="str">
        <f aca="false">IF(AND(ROUND(C46-D46,2)=0,ROUND(E46-F46,2)=0,ROUND(C46-E46,2)=0),"Agrees – balances to £0","CHECK")</f>
        <v>Agrees – balances to £0</v>
      </c>
    </row>
  </sheetData>
  <autoFilter ref="A1:G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52"/>
    <col collapsed="false" customWidth="true" hidden="false" outlineLevel="0" max="2" min="2" style="17" width="16"/>
    <col collapsed="false" customWidth="true" hidden="false" outlineLevel="0" max="3" min="3" style="17" width="75"/>
  </cols>
  <sheetData>
    <row r="1" customFormat="false" ht="17.25" hidden="false" customHeight="true" outlineLevel="0" collapsed="false">
      <c r="A1" s="18" t="s">
        <v>320</v>
      </c>
    </row>
    <row r="2" customFormat="false" ht="15" hidden="false" customHeight="true" outlineLevel="0" collapsed="false">
      <c r="A2" s="19" t="s">
        <v>321</v>
      </c>
    </row>
    <row r="4" customFormat="false" ht="15" hidden="false" customHeight="true" outlineLevel="0" collapsed="false">
      <c r="A4" s="32" t="s">
        <v>322</v>
      </c>
      <c r="B4" s="32" t="s">
        <v>2</v>
      </c>
      <c r="C4" s="32" t="s">
        <v>249</v>
      </c>
    </row>
    <row r="5" customFormat="false" ht="15" hidden="false" customHeight="true" outlineLevel="0" collapsed="false">
      <c r="A5" s="21" t="s">
        <v>323</v>
      </c>
      <c r="B5" s="23" t="n">
        <f aca="false">SUMIFS('Completion Lines'!$F$2:$F$41,'Completion Lines'!$G$2:$G$41,"Property cost – purchase price")</f>
        <v>462000</v>
      </c>
      <c r="C5" s="35"/>
    </row>
    <row r="6" customFormat="false" ht="15" hidden="false" customHeight="true" outlineLevel="0" collapsed="false">
      <c r="A6" s="21" t="s">
        <v>324</v>
      </c>
      <c r="B6" s="23" t="n">
        <f aca="false">SUMIFS('Completion Lines'!$F$2:$F$41,'Completion Lines'!$G$2:$G$41,"Property cost – Stamp Duty (SDLT)")</f>
        <v>36200</v>
      </c>
      <c r="C6" s="35" t="s">
        <v>325</v>
      </c>
    </row>
    <row r="7" customFormat="false" ht="15" hidden="false" customHeight="true" outlineLevel="0" collapsed="false">
      <c r="A7" s="21" t="s">
        <v>326</v>
      </c>
      <c r="B7" s="23" t="n">
        <f aca="false">SUMIFS('Completion Lines'!$F$2:$F$41,'Completion Lines'!$G$2:$G$41,"Property cost – legal &amp; acquisition fees")</f>
        <v>1743.94</v>
      </c>
      <c r="C7" s="35" t="s">
        <v>327</v>
      </c>
    </row>
    <row r="8" customFormat="false" ht="15" hidden="false" customHeight="true" outlineLevel="0" collapsed="false">
      <c r="A8" s="24" t="s">
        <v>328</v>
      </c>
      <c r="B8" s="25" t="n">
        <f aca="false">SUM(B5:B7)</f>
        <v>499943.94</v>
      </c>
      <c r="C8" s="24"/>
    </row>
    <row r="10" customFormat="false" ht="15" hidden="false" customHeight="true" outlineLevel="0" collapsed="false">
      <c r="A10" s="32" t="s">
        <v>329</v>
      </c>
      <c r="B10" s="32" t="s">
        <v>2</v>
      </c>
      <c r="C10" s="32" t="s">
        <v>249</v>
      </c>
    </row>
    <row r="11" customFormat="false" ht="15" hidden="false" customHeight="true" outlineLevel="0" collapsed="false">
      <c r="A11" s="21" t="s">
        <v>330</v>
      </c>
      <c r="B11" s="23" t="n">
        <f aca="false">SUMIFS('Completion Lines'!$F$2:$F$41,'Completion Lines'!$G$2:$G$41,"Finance cost – Cairnsford mortgage")</f>
        <v>715</v>
      </c>
      <c r="C11" s="35" t="s">
        <v>331</v>
      </c>
    </row>
    <row r="12" customFormat="false" ht="15" hidden="false" customHeight="true" outlineLevel="0" collapsed="false">
      <c r="A12" s="21" t="s">
        <v>332</v>
      </c>
      <c r="B12" s="23" t="n">
        <f aca="false">SUMIFS('Completion Lines'!$F$2:$F$41,'Completion Lines'!$G$2:$G$41,"Finance cost – Strensall remortgage")</f>
        <v>1670</v>
      </c>
      <c r="C12" s="35" t="s">
        <v>333</v>
      </c>
    </row>
    <row r="13" customFormat="false" ht="15" hidden="false" customHeight="true" outlineLevel="0" collapsed="false">
      <c r="A13" s="24" t="s">
        <v>22</v>
      </c>
      <c r="B13" s="25" t="n">
        <f aca="false">SUM(B11:B12)</f>
        <v>2385</v>
      </c>
      <c r="C13" s="24"/>
    </row>
    <row r="15" customFormat="false" ht="15" hidden="false" customHeight="true" outlineLevel="0" collapsed="false">
      <c r="A15" s="32" t="s">
        <v>334</v>
      </c>
      <c r="B15" s="32" t="s">
        <v>2</v>
      </c>
      <c r="C15" s="32" t="s">
        <v>249</v>
      </c>
    </row>
    <row r="16" customFormat="false" ht="15" hidden="false" customHeight="true" outlineLevel="0" collapsed="false">
      <c r="A16" s="21" t="s">
        <v>335</v>
      </c>
      <c r="B16" s="23" t="n">
        <f aca="false">SUMIFS('Completion Lines'!$C$2:$C$41,'Completion Lines'!$G$2:$G$41,"Funding – Together Commercial mortgage (net)")</f>
        <v>311938.6</v>
      </c>
      <c r="C16" s="35" t="s">
        <v>336</v>
      </c>
    </row>
    <row r="17" customFormat="false" ht="15" hidden="false" customHeight="true" outlineLevel="0" collapsed="false">
      <c r="A17" s="21" t="s">
        <v>337</v>
      </c>
      <c r="B17" s="23" t="n">
        <f aca="false">SUMIFS('Completion Lines'!$C$2:$C$41,'Completion Lines'!$G$2:$G$41,"Transfer – Strensall proceeds to Cairnsford",'Completion Lines'!$A$2:$A$41,"36 Cairnsford Rd – Purchase (17/07/2025)")</f>
        <v>131958</v>
      </c>
      <c r="C17" s="35" t="s">
        <v>338</v>
      </c>
    </row>
    <row r="18" customFormat="false" ht="15" hidden="false" customHeight="true" outlineLevel="0" collapsed="false">
      <c r="A18" s="21" t="s">
        <v>339</v>
      </c>
      <c r="B18" s="23" t="n">
        <f aca="false">SUMIFS('Completion Lines'!$C$2:$C$41,'Completion Lines'!$G$2:$G$41,"Funding – Alvine Tchega")</f>
        <v>18362.34</v>
      </c>
      <c r="C18" s="35" t="s">
        <v>340</v>
      </c>
    </row>
    <row r="19" customFormat="false" ht="15" hidden="false" customHeight="true" outlineLevel="0" collapsed="false">
      <c r="A19" s="21" t="s">
        <v>341</v>
      </c>
      <c r="B19" s="23" t="n">
        <f aca="false">SUMIFS('Completion Lines'!$C$2:$C$41,'Completion Lines'!$G$2:$G$41,"Funding – Kakmeni")</f>
        <v>38000</v>
      </c>
      <c r="C19" s="35" t="s">
        <v>342</v>
      </c>
    </row>
    <row r="20" customFormat="false" ht="15" hidden="false" customHeight="true" outlineLevel="0" collapsed="false">
      <c r="A20" s="21" t="s">
        <v>343</v>
      </c>
      <c r="B20" s="23" t="n">
        <f aca="false">SUMIFS('Completion Lines'!$C$2:$C$41,'Completion Lines'!$G$2:$G$41,"Funding – money on account",'Completion Lines'!$A$2:$A$41,"36 Cairnsford Rd – Purchase (17/07/2025)")</f>
        <v>400</v>
      </c>
      <c r="C20" s="35"/>
    </row>
    <row r="21" customFormat="false" ht="15" hidden="false" customHeight="true" outlineLevel="0" collapsed="false">
      <c r="A21" s="24" t="s">
        <v>344</v>
      </c>
      <c r="B21" s="25" t="n">
        <f aca="false">SUM(B16:B20)</f>
        <v>500658.94</v>
      </c>
      <c r="C21" s="24"/>
    </row>
    <row r="23" customFormat="false" ht="15" hidden="false" customHeight="true" outlineLevel="0" collapsed="false">
      <c r="A23" s="32" t="s">
        <v>345</v>
      </c>
      <c r="B23" s="32" t="s">
        <v>2</v>
      </c>
      <c r="C23" s="32" t="s">
        <v>249</v>
      </c>
    </row>
    <row r="24" customFormat="false" ht="15" hidden="false" customHeight="true" outlineLevel="0" collapsed="false">
      <c r="A24" s="21" t="s">
        <v>346</v>
      </c>
      <c r="B24" s="23" t="n">
        <f aca="false">B8+B11</f>
        <v>500658.94</v>
      </c>
      <c r="C24" s="35"/>
    </row>
    <row r="25" customFormat="false" ht="15" hidden="false" customHeight="true" outlineLevel="0" collapsed="false">
      <c r="A25" s="21" t="s">
        <v>347</v>
      </c>
      <c r="B25" s="23" t="n">
        <f aca="false">B21</f>
        <v>500658.94</v>
      </c>
      <c r="C25" s="35"/>
    </row>
    <row r="26" customFormat="false" ht="15" hidden="false" customHeight="true" outlineLevel="0" collapsed="false">
      <c r="A26" s="26" t="s">
        <v>348</v>
      </c>
      <c r="B26" s="31" t="n">
        <f aca="false">ROUND(B24-B25,2)</f>
        <v>0</v>
      </c>
    </row>
    <row r="28" customFormat="false" ht="15" hidden="false" customHeight="true" outlineLevel="0" collapsed="false">
      <c r="A28" s="32" t="s">
        <v>349</v>
      </c>
      <c r="B28" s="32" t="s">
        <v>2</v>
      </c>
      <c r="C28" s="32" t="s">
        <v>249</v>
      </c>
    </row>
    <row r="29" customFormat="false" ht="15" hidden="false" customHeight="true" outlineLevel="0" collapsed="false">
      <c r="A29" s="21" t="s">
        <v>350</v>
      </c>
      <c r="B29" s="23" t="n">
        <f aca="false">-SUMIFS('Monzo Transactions'!$J:$J,'Monzo Transactions'!$E:$E,"10395974-002")</f>
        <v>10699.15</v>
      </c>
      <c r="C29" s="35" t="s">
        <v>351</v>
      </c>
    </row>
    <row r="30" customFormat="false" ht="15" hidden="false" customHeight="true" outlineLevel="0" collapsed="false">
      <c r="A30" s="21" t="s">
        <v>352</v>
      </c>
      <c r="B30" s="23" t="n">
        <f aca="false">-SUMIFS('Monzo Transactions'!$J:$J,'Monzo Transactions'!$E:$E,"10395973-002")</f>
        <v>5802.9</v>
      </c>
      <c r="C30" s="35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2026-10-14T13:12:09Z</dcterms:created>
  <dc:creator>openpyxl</dc:creator>
  <dc:description/>
  <dc:language>en-US</dc:language>
  <cp:lastModifiedBy/>
  <dcterms:modified xsi:type="dcterms:W3CDTF">2026-10-14T14:49:10Z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