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nzo Reconciliation" sheetId="1" state="visible" r:id="rId3"/>
    <sheet name="Monzo Transactions" sheetId="2" state="visible" r:id="rId4"/>
    <sheet name="Monzo Categories" sheetId="3" state="visible" r:id="rId5"/>
  </sheets>
  <definedNames>
    <definedName function="false" hidden="true" localSheetId="1" name="_xlnm._FilterDatabase" vbProcedure="false">'Monzo Transactions'!$A$1:$N$37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Opening 01/09/2025 derived from Sep PDF: 4,682.00 − 7,682.00 + 3,000.00 = 0.00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Sep-2025 rows typed from the PDF statement (not in the Monzo export). Oct–Nov rows from the export, checked line by line against the PDFs. Dec-2025–Feb-2026 from the export only (no PDF supplied).</t>
        </r>
      </text>
    </comment>
    <comment ref="G1" authorId="0">
      <text>
        <r>
          <rPr>
            <sz val="10"/>
            <rFont val="Arial"/>
            <family val="2"/>
          </rPr>
          <t xml:space="preserve">Category = my grouping from payee + reference. Edit any cell in this column; the Categories sheet updates.</t>
        </r>
      </text>
    </comment>
    <comment ref="K1" authorId="0">
      <text>
        <r>
          <rPr>
            <sz val="10"/>
            <rFont val="Arial"/>
            <family val="2"/>
          </rPr>
          <t xml:space="preserve">Opening balance 01/09/2025 = £0.00 (Sep PDF: closing 4,682.00 − deposits 7,682.00 + outgoings 3,000.00).</t>
        </r>
      </text>
    </comment>
  </commentList>
</comments>
</file>

<file path=xl/sharedStrings.xml><?xml version="1.0" encoding="utf-8"?>
<sst xmlns="http://schemas.openxmlformats.org/spreadsheetml/2006/main" count="290" uniqueCount="102">
  <si>
    <t xml:space="preserve">Monzo Business Account (Alino Property Ltd) – Monthly Reconciliation</t>
  </si>
  <si>
    <t xml:space="preserve">Blue = figures typed from the statement. Black = formulas from the Monzo Transactions sheet. Difference should be 0.</t>
  </si>
  <si>
    <t xml:space="preserve">Month</t>
  </si>
  <si>
    <t xml:space="preserve">Opening (£)</t>
  </si>
  <si>
    <t xml:space="preserve">Money In (£)</t>
  </si>
  <si>
    <t xml:space="preserve">Money Out (£)</t>
  </si>
  <si>
    <t xml:space="preserve">Calculated Closing (£)</t>
  </si>
  <si>
    <t xml:space="preserve">Statement Closing (£)</t>
  </si>
  <si>
    <t xml:space="preserve">Difference (£)</t>
  </si>
  <si>
    <t xml:space="preserve">Statement Deposits (£)</t>
  </si>
  <si>
    <t xml:space="preserve">Statement Outgoings (£)</t>
  </si>
  <si>
    <t xml:space="preserve">In / Out Check (£)</t>
  </si>
  <si>
    <t xml:space="preserve">Status</t>
  </si>
  <si>
    <t xml:space="preserve">Statement source</t>
  </si>
  <si>
    <t xml:space="preserve">2025-09</t>
  </si>
  <si>
    <t xml:space="preserve">PDF statement 01/09–30/09/2025</t>
  </si>
  <si>
    <t xml:space="preserve">2025-10</t>
  </si>
  <si>
    <t xml:space="preserve">PDF statement 01/10–31/10/2025</t>
  </si>
  <si>
    <t xml:space="preserve">2025-11</t>
  </si>
  <si>
    <t xml:space="preserve">PDF statement 01/11–30/11/2025</t>
  </si>
  <si>
    <t xml:space="preserve">2025-12</t>
  </si>
  <si>
    <t xml:space="preserve">n/a</t>
  </si>
  <si>
    <t xml:space="preserve">Monzo export – last balance in month (no PDF)</t>
  </si>
  <si>
    <t xml:space="preserve">2026-01</t>
  </si>
  <si>
    <t xml:space="preserve">2026-02</t>
  </si>
  <si>
    <t xml:space="preserve">Monzo export – last balance to 17/02/2026 (no PDF)</t>
  </si>
  <si>
    <t xml:space="preserve">Total</t>
  </si>
  <si>
    <t xml:space="preserve">Rows with a running-balance mismatch:</t>
  </si>
  <si>
    <t xml:space="preserve">Date</t>
  </si>
  <si>
    <t xml:space="preserve">Type</t>
  </si>
  <si>
    <t xml:space="preserve">Name</t>
  </si>
  <si>
    <t xml:space="preserve">Reference</t>
  </si>
  <si>
    <t xml:space="preserve">Monzo Category</t>
  </si>
  <si>
    <t xml:space="preserve">Category</t>
  </si>
  <si>
    <t xml:space="preserve">Amount (£)</t>
  </si>
  <si>
    <t xml:space="preserve">Running Balance (£)</t>
  </si>
  <si>
    <t xml:space="preserve">Statement Balance (£)</t>
  </si>
  <si>
    <t xml:space="preserve">Source</t>
  </si>
  <si>
    <t xml:space="preserve">Faster payment</t>
  </si>
  <si>
    <t xml:space="preserve">THE KULTURE BAR AN</t>
  </si>
  <si>
    <t xml:space="preserve">loans</t>
  </si>
  <si>
    <t xml:space="preserve">Income</t>
  </si>
  <si>
    <t xml:space="preserve">Loans received</t>
  </si>
  <si>
    <t xml:space="preserve">PDF statement Sep-2025</t>
  </si>
  <si>
    <t xml:space="preserve">LOANS</t>
  </si>
  <si>
    <t xml:space="preserve">FRANCK ERIC NJIAGA</t>
  </si>
  <si>
    <t xml:space="preserve">CHASE</t>
  </si>
  <si>
    <t xml:space="preserve">Other income received</t>
  </si>
  <si>
    <t xml:space="preserve">Seyat Can</t>
  </si>
  <si>
    <t xml:space="preserve">Material</t>
  </si>
  <si>
    <t xml:space="preserve">Services</t>
  </si>
  <si>
    <t xml:space="preserve">Building materials (Seyat Can)</t>
  </si>
  <si>
    <t xml:space="preserve">Monzo export + PDF statement</t>
  </si>
  <si>
    <t xml:space="preserve">MIRABELLE SIEWE</t>
  </si>
  <si>
    <t xml:space="preserve">Mirabelle</t>
  </si>
  <si>
    <t xml:space="preserve">GUY NOEL DEUFI</t>
  </si>
  <si>
    <t xml:space="preserve">guy exch</t>
  </si>
  <si>
    <t xml:space="preserve">Monzo-to-Monzo</t>
  </si>
  <si>
    <t xml:space="preserve">Alvine Tchega</t>
  </si>
  <si>
    <t xml:space="preserve">Transfers</t>
  </si>
  <si>
    <t xml:space="preserve">Director transfers (Alvine Tchega)</t>
  </si>
  <si>
    <t xml:space="preserve">Ahmed Sayyed</t>
  </si>
  <si>
    <t xml:space="preserve">Alino property Ltd</t>
  </si>
  <si>
    <t xml:space="preserve">Bills</t>
  </si>
  <si>
    <t xml:space="preserve">Payments to Alino / Ahmed Sayyed</t>
  </si>
  <si>
    <t xml:space="preserve">Direct Debit</t>
  </si>
  <si>
    <t xml:space="preserve">Together Commercia</t>
  </si>
  <si>
    <t xml:space="preserve">10395974-002</t>
  </si>
  <si>
    <t xml:space="preserve">Mortgage – Together Commercial (10395974-002)</t>
  </si>
  <si>
    <t xml:space="preserve">10395973-002</t>
  </si>
  <si>
    <t xml:space="preserve">Mortgage – Together Commercial (10395973-002)</t>
  </si>
  <si>
    <t xml:space="preserve">Jean Alain Kakmeni</t>
  </si>
  <si>
    <t xml:space="preserve">Sent from Revolut</t>
  </si>
  <si>
    <t xml:space="preserve">Rent received – Kakmeni</t>
  </si>
  <si>
    <t xml:space="preserve">Monzo export</t>
  </si>
  <si>
    <t xml:space="preserve">KAKMENI MR J</t>
  </si>
  <si>
    <t xml:space="preserve">Rent</t>
  </si>
  <si>
    <t xml:space="preserve">ALINO LTD</t>
  </si>
  <si>
    <t xml:space="preserve">Building work</t>
  </si>
  <si>
    <t xml:space="preserve">Building work income (Alino Ltd)</t>
  </si>
  <si>
    <t xml:space="preserve">Alino Ltd</t>
  </si>
  <si>
    <t xml:space="preserve">ALVINE KOUAYA TCHEGA</t>
  </si>
  <si>
    <t xml:space="preserve">Mortgage new</t>
  </si>
  <si>
    <t xml:space="preserve">J Kouchoufondjo</t>
  </si>
  <si>
    <t xml:space="preserve">Jean Calvin</t>
  </si>
  <si>
    <t xml:space="preserve">KAKMENI J</t>
  </si>
  <si>
    <t xml:space="preserve">Loan</t>
  </si>
  <si>
    <t xml:space="preserve">Bank transfer</t>
  </si>
  <si>
    <t xml:space="preserve">Alvine Kouaya Tchega</t>
  </si>
  <si>
    <t xml:space="preserve">BTL</t>
  </si>
  <si>
    <t xml:space="preserve">Monzo – Totals by Category and Month (Amount: + in / − out)</t>
  </si>
  <si>
    <t xml:space="preserve">SUMIFS over the Monzo Transactions sheet. Change a Category there and this table follows.</t>
  </si>
  <si>
    <t xml:space="preserve">Total (£)</t>
  </si>
  <si>
    <t xml:space="preserve">Count</t>
  </si>
  <si>
    <t xml:space="preserve">Notes</t>
  </si>
  <si>
    <t xml:space="preserve">Account holder moving own money in/out.</t>
  </si>
  <si>
    <t xml:space="preserve">Kulture Bar 'loans' (Sep) and Kakmeni J 'Loan' (Feb).</t>
  </si>
  <si>
    <t xml:space="preserve">Njiaga (CHASE), Siewe, Deufi (guy exch), Kouchoufondjo – purpose not stated; confirm.</t>
  </si>
  <si>
    <t xml:space="preserve">Assumed rent: one payment says 'Rent'; Revolut payments from the same person treated the same. 'Loan' payment is under Loans received.</t>
  </si>
  <si>
    <t xml:space="preserve">Ahmed Sayyed payment had reference 'Alino property Ltd'.</t>
  </si>
  <si>
    <t xml:space="preserve">Net movement</t>
  </si>
  <si>
    <t xml:space="preserve">Check vs reconciliation (should be 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</si>
</sst>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.00;&quot;-£&quot;#,##0.00;\-"/>
    <numFmt numFmtId="166" formatCode="dd/mm/yyyy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4" min="2" style="1" width="13"/>
    <col collapsed="false" customWidth="true" hidden="false" outlineLevel="0" max="6" min="5" style="1" width="15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2" min="12" style="1" width="4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true" outlineLevel="0" collapsed="false">
      <c r="A5" s="5" t="s">
        <v>14</v>
      </c>
      <c r="B5" s="6" t="n">
        <v>0</v>
      </c>
      <c r="C5" s="7" t="n">
        <f aca="false">SUMIFS('Monzo Transactions'!$H:$H,'Monzo Transactions'!$B:$B,$A5)</f>
        <v>7682</v>
      </c>
      <c r="D5" s="7" t="n">
        <f aca="false">SUMIFS('Monzo Transactions'!$I:$I,'Monzo Transactions'!$B:$B,$A5)</f>
        <v>3000</v>
      </c>
      <c r="E5" s="7" t="n">
        <f aca="false">B5+C5-D5</f>
        <v>4682</v>
      </c>
      <c r="F5" s="6" t="n">
        <v>4682</v>
      </c>
      <c r="G5" s="7" t="n">
        <f aca="false">ROUND(E5-F5,2)</f>
        <v>0</v>
      </c>
      <c r="H5" s="6" t="n">
        <v>7682</v>
      </c>
      <c r="I5" s="6" t="n">
        <v>3000</v>
      </c>
      <c r="J5" s="7" t="n">
        <f aca="false">ROUND((C5-H5)+(D5-I5),2)</f>
        <v>0</v>
      </c>
      <c r="K5" s="5" t="str">
        <f aca="false">IF(AND(G5=0,OR(J5=0,J5="n/a")),"Reconciled","CHECK")</f>
        <v>Reconciled</v>
      </c>
      <c r="L5" s="5" t="s">
        <v>15</v>
      </c>
    </row>
    <row r="6" customFormat="false" ht="15" hidden="false" customHeight="true" outlineLevel="0" collapsed="false">
      <c r="A6" s="5" t="s">
        <v>16</v>
      </c>
      <c r="B6" s="7" t="n">
        <f aca="false">F5</f>
        <v>4682</v>
      </c>
      <c r="C6" s="7" t="n">
        <f aca="false">SUMIFS('Monzo Transactions'!$H:$H,'Monzo Transactions'!$B:$B,$A6)</f>
        <v>5550</v>
      </c>
      <c r="D6" s="7" t="n">
        <f aca="false">SUMIFS('Monzo Transactions'!$I:$I,'Monzo Transactions'!$B:$B,$A6)</f>
        <v>7800.41</v>
      </c>
      <c r="E6" s="7" t="n">
        <f aca="false">B6+C6-D6</f>
        <v>2431.59</v>
      </c>
      <c r="F6" s="6" t="n">
        <v>2431.59</v>
      </c>
      <c r="G6" s="7" t="n">
        <f aca="false">ROUND(E6-F6,2)</f>
        <v>0</v>
      </c>
      <c r="H6" s="6" t="n">
        <v>5550</v>
      </c>
      <c r="I6" s="6" t="n">
        <v>7800.41</v>
      </c>
      <c r="J6" s="7" t="n">
        <f aca="false">ROUND((C6-H6)+(D6-I6),2)</f>
        <v>0</v>
      </c>
      <c r="K6" s="5" t="str">
        <f aca="false">IF(AND(G6=0,OR(J6=0,J6="n/a")),"Reconciled","CHECK")</f>
        <v>Reconciled</v>
      </c>
      <c r="L6" s="5" t="s">
        <v>17</v>
      </c>
    </row>
    <row r="7" customFormat="false" ht="15" hidden="false" customHeight="true" outlineLevel="0" collapsed="false">
      <c r="A7" s="5" t="s">
        <v>18</v>
      </c>
      <c r="B7" s="7" t="n">
        <f aca="false">F6</f>
        <v>2431.59</v>
      </c>
      <c r="C7" s="7" t="n">
        <f aca="false">SUMIFS('Monzo Transactions'!$H:$H,'Monzo Transactions'!$B:$B,$A7)</f>
        <v>1000</v>
      </c>
      <c r="D7" s="7" t="n">
        <f aca="false">SUMIFS('Monzo Transactions'!$I:$I,'Monzo Transactions'!$B:$B,$A7)</f>
        <v>3300.41</v>
      </c>
      <c r="E7" s="7" t="n">
        <f aca="false">B7+C7-D7</f>
        <v>131.18</v>
      </c>
      <c r="F7" s="6" t="n">
        <v>131.18</v>
      </c>
      <c r="G7" s="7" t="n">
        <f aca="false">ROUND(E7-F7,2)</f>
        <v>0</v>
      </c>
      <c r="H7" s="6" t="n">
        <v>1000</v>
      </c>
      <c r="I7" s="6" t="n">
        <v>3300.41</v>
      </c>
      <c r="J7" s="7" t="n">
        <f aca="false">ROUND((C7-H7)+(D7-I7),2)</f>
        <v>0</v>
      </c>
      <c r="K7" s="5" t="str">
        <f aca="false">IF(AND(G7=0,OR(J7=0,J7="n/a")),"Reconciled","CHECK")</f>
        <v>Reconciled</v>
      </c>
      <c r="L7" s="5" t="s">
        <v>19</v>
      </c>
    </row>
    <row r="8" customFormat="false" ht="15" hidden="false" customHeight="true" outlineLevel="0" collapsed="false">
      <c r="A8" s="5" t="s">
        <v>20</v>
      </c>
      <c r="B8" s="7" t="n">
        <f aca="false">F7</f>
        <v>131.18</v>
      </c>
      <c r="C8" s="7" t="n">
        <f aca="false">SUMIFS('Monzo Transactions'!$H:$H,'Monzo Transactions'!$B:$B,$A8)</f>
        <v>5300</v>
      </c>
      <c r="D8" s="7" t="n">
        <f aca="false">SUMIFS('Monzo Transactions'!$I:$I,'Monzo Transactions'!$B:$B,$A8)</f>
        <v>3500.41</v>
      </c>
      <c r="E8" s="7" t="n">
        <f aca="false">B8+C8-D8</f>
        <v>1930.77</v>
      </c>
      <c r="F8" s="6" t="n">
        <v>1930.77</v>
      </c>
      <c r="G8" s="7" t="n">
        <f aca="false">ROUND(E8-F8,2)</f>
        <v>0</v>
      </c>
      <c r="H8" s="6"/>
      <c r="I8" s="6"/>
      <c r="J8" s="7" t="s">
        <v>21</v>
      </c>
      <c r="K8" s="5" t="str">
        <f aca="false">IF(AND(G8=0,OR(J8=0,J8="n/a")),"Reconciled","CHECK")</f>
        <v>Reconciled</v>
      </c>
      <c r="L8" s="5" t="s">
        <v>22</v>
      </c>
    </row>
    <row r="9" customFormat="false" ht="15" hidden="false" customHeight="true" outlineLevel="0" collapsed="false">
      <c r="A9" s="5" t="s">
        <v>23</v>
      </c>
      <c r="B9" s="7" t="n">
        <f aca="false">F8</f>
        <v>1930.77</v>
      </c>
      <c r="C9" s="7" t="n">
        <f aca="false">SUMIFS('Monzo Transactions'!$H:$H,'Monzo Transactions'!$B:$B,$A9)</f>
        <v>2400</v>
      </c>
      <c r="D9" s="7" t="n">
        <f aca="false">SUMIFS('Monzo Transactions'!$I:$I,'Monzo Transactions'!$B:$B,$A9)</f>
        <v>3300.41</v>
      </c>
      <c r="E9" s="7" t="n">
        <f aca="false">B9+C9-D9</f>
        <v>1030.36</v>
      </c>
      <c r="F9" s="6" t="n">
        <v>1030.36</v>
      </c>
      <c r="G9" s="7" t="n">
        <f aca="false">ROUND(E9-F9,2)</f>
        <v>0</v>
      </c>
      <c r="H9" s="6"/>
      <c r="I9" s="6"/>
      <c r="J9" s="7" t="s">
        <v>21</v>
      </c>
      <c r="K9" s="5" t="str">
        <f aca="false">IF(AND(G9=0,OR(J9=0,J9="n/a")),"Reconciled","CHECK")</f>
        <v>Reconciled</v>
      </c>
      <c r="L9" s="5" t="s">
        <v>22</v>
      </c>
    </row>
    <row r="10" customFormat="false" ht="15" hidden="false" customHeight="true" outlineLevel="0" collapsed="false">
      <c r="A10" s="5" t="s">
        <v>24</v>
      </c>
      <c r="B10" s="7" t="n">
        <f aca="false">F9</f>
        <v>1030.36</v>
      </c>
      <c r="C10" s="7" t="n">
        <f aca="false">SUMIFS('Monzo Transactions'!$H:$H,'Monzo Transactions'!$B:$B,$A10)</f>
        <v>2400</v>
      </c>
      <c r="D10" s="7" t="n">
        <f aca="false">SUMIFS('Monzo Transactions'!$I:$I,'Monzo Transactions'!$B:$B,$A10)</f>
        <v>3300.41</v>
      </c>
      <c r="E10" s="7" t="n">
        <f aca="false">B10+C10-D10</f>
        <v>129.95</v>
      </c>
      <c r="F10" s="6" t="n">
        <v>129.95</v>
      </c>
      <c r="G10" s="7" t="n">
        <f aca="false">ROUND(E10-F10,2)</f>
        <v>0</v>
      </c>
      <c r="H10" s="6"/>
      <c r="I10" s="6"/>
      <c r="J10" s="7" t="s">
        <v>21</v>
      </c>
      <c r="K10" s="5" t="str">
        <f aca="false">IF(AND(G10=0,OR(J10=0,J10="n/a")),"Reconciled","CHECK")</f>
        <v>Reconciled</v>
      </c>
      <c r="L10" s="5" t="s">
        <v>25</v>
      </c>
    </row>
    <row r="11" customFormat="false" ht="15" hidden="false" customHeight="true" outlineLevel="0" collapsed="false">
      <c r="A11" s="8" t="s">
        <v>26</v>
      </c>
      <c r="B11" s="9"/>
      <c r="C11" s="9" t="n">
        <f aca="false">SUM(C5:C10)</f>
        <v>24332</v>
      </c>
      <c r="D11" s="9" t="n">
        <f aca="false">SUM(D5:D10)</f>
        <v>24202.05</v>
      </c>
      <c r="E11" s="9" t="n">
        <f aca="false">B5+C11-D11</f>
        <v>129.950000000001</v>
      </c>
      <c r="F11" s="9" t="n">
        <f aca="false">F10</f>
        <v>129.95</v>
      </c>
      <c r="G11" s="9" t="n">
        <f aca="false">ROUND(E11-F11,2)</f>
        <v>0</v>
      </c>
      <c r="H11" s="9"/>
      <c r="I11" s="9"/>
      <c r="J11" s="9"/>
      <c r="K11" s="8"/>
      <c r="L11" s="8"/>
    </row>
    <row r="13" customFormat="false" ht="15" hidden="false" customHeight="true" outlineLevel="0" collapsed="false">
      <c r="A13" s="10" t="s">
        <v>27</v>
      </c>
      <c r="D13" s="10" t="n">
        <f aca="false">COUNTIF('Monzo Transactions'!M2:M37,"&lt;&gt;0")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3" min="3" style="1" width="15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7" min="7" style="1" width="38"/>
    <col collapsed="false" customWidth="true" hidden="false" outlineLevel="0" max="10" min="8" style="1" width="13"/>
    <col collapsed="false" customWidth="true" hidden="false" outlineLevel="0" max="12" min="11" style="1" width="15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30" hidden="false" customHeight="true" outlineLevel="0" collapsed="false">
      <c r="A1" s="4" t="s">
        <v>28</v>
      </c>
      <c r="B1" s="4" t="s">
        <v>2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4</v>
      </c>
      <c r="I1" s="4" t="s">
        <v>5</v>
      </c>
      <c r="J1" s="4" t="s">
        <v>34</v>
      </c>
      <c r="K1" s="4" t="s">
        <v>35</v>
      </c>
      <c r="L1" s="4" t="s">
        <v>36</v>
      </c>
      <c r="M1" s="4" t="s">
        <v>8</v>
      </c>
      <c r="N1" s="4" t="s">
        <v>37</v>
      </c>
    </row>
    <row r="2" customFormat="false" ht="15" hidden="false" customHeight="true" outlineLevel="0" collapsed="false">
      <c r="A2" s="11" t="n">
        <v>45919</v>
      </c>
      <c r="B2" s="12" t="str">
        <f aca="false">TEXT(A2,"yyyy-mm")</f>
        <v>2025-09</v>
      </c>
      <c r="C2" s="12" t="s">
        <v>38</v>
      </c>
      <c r="D2" s="12" t="s">
        <v>39</v>
      </c>
      <c r="E2" s="12" t="s">
        <v>40</v>
      </c>
      <c r="F2" s="12" t="s">
        <v>41</v>
      </c>
      <c r="G2" s="12" t="s">
        <v>42</v>
      </c>
      <c r="H2" s="13" t="n">
        <f aca="false">IF(J2&gt;0,J2,0)</f>
        <v>5000</v>
      </c>
      <c r="I2" s="13" t="n">
        <f aca="false">IF(J2&lt;0,-J2,0)</f>
        <v>0</v>
      </c>
      <c r="J2" s="14" t="n">
        <v>5000</v>
      </c>
      <c r="K2" s="13" t="n">
        <f aca="false">J2</f>
        <v>5000</v>
      </c>
      <c r="L2" s="14" t="n">
        <v>5000</v>
      </c>
      <c r="M2" s="13" t="n">
        <f aca="false">ROUND(K2-L2,2)</f>
        <v>0</v>
      </c>
      <c r="N2" s="12" t="s">
        <v>43</v>
      </c>
    </row>
    <row r="3" customFormat="false" ht="15" hidden="false" customHeight="true" outlineLevel="0" collapsed="false">
      <c r="A3" s="11" t="n">
        <v>45919</v>
      </c>
      <c r="B3" s="12" t="str">
        <f aca="false">TEXT(A3,"yyyy-mm")</f>
        <v>2025-09</v>
      </c>
      <c r="C3" s="12" t="s">
        <v>38</v>
      </c>
      <c r="D3" s="12" t="s">
        <v>39</v>
      </c>
      <c r="E3" s="12" t="s">
        <v>44</v>
      </c>
      <c r="F3" s="12" t="s">
        <v>41</v>
      </c>
      <c r="G3" s="12" t="s">
        <v>42</v>
      </c>
      <c r="H3" s="13" t="n">
        <f aca="false">IF(J3&gt;0,J3,0)</f>
        <v>1400</v>
      </c>
      <c r="I3" s="13" t="n">
        <f aca="false">IF(J3&lt;0,-J3,0)</f>
        <v>0</v>
      </c>
      <c r="J3" s="14" t="n">
        <v>1400</v>
      </c>
      <c r="K3" s="13" t="n">
        <f aca="false">K2+J3</f>
        <v>6400</v>
      </c>
      <c r="L3" s="14" t="n">
        <v>6400</v>
      </c>
      <c r="M3" s="13" t="n">
        <f aca="false">ROUND(K3-L3,2)</f>
        <v>0</v>
      </c>
      <c r="N3" s="12" t="s">
        <v>43</v>
      </c>
    </row>
    <row r="4" customFormat="false" ht="15" hidden="false" customHeight="true" outlineLevel="0" collapsed="false">
      <c r="A4" s="11" t="n">
        <v>45921</v>
      </c>
      <c r="B4" s="12" t="str">
        <f aca="false">TEXT(A4,"yyyy-mm")</f>
        <v>2025-09</v>
      </c>
      <c r="C4" s="12" t="s">
        <v>38</v>
      </c>
      <c r="D4" s="12" t="s">
        <v>45</v>
      </c>
      <c r="E4" s="12" t="s">
        <v>46</v>
      </c>
      <c r="F4" s="12" t="s">
        <v>41</v>
      </c>
      <c r="G4" s="12" t="s">
        <v>47</v>
      </c>
      <c r="H4" s="13" t="n">
        <f aca="false">IF(J4&gt;0,J4,0)</f>
        <v>1282</v>
      </c>
      <c r="I4" s="13" t="n">
        <f aca="false">IF(J4&lt;0,-J4,0)</f>
        <v>0</v>
      </c>
      <c r="J4" s="14" t="n">
        <v>1282</v>
      </c>
      <c r="K4" s="13" t="n">
        <f aca="false">K3+J4</f>
        <v>7682</v>
      </c>
      <c r="L4" s="14" t="n">
        <v>7682</v>
      </c>
      <c r="M4" s="13" t="n">
        <f aca="false">ROUND(K4-L4,2)</f>
        <v>0</v>
      </c>
      <c r="N4" s="12" t="s">
        <v>43</v>
      </c>
    </row>
    <row r="5" customFormat="false" ht="15" hidden="false" customHeight="true" outlineLevel="0" collapsed="false">
      <c r="A5" s="11" t="n">
        <v>45922</v>
      </c>
      <c r="B5" s="12" t="str">
        <f aca="false">TEXT(A5,"yyyy-mm")</f>
        <v>2025-09</v>
      </c>
      <c r="C5" s="12" t="s">
        <v>38</v>
      </c>
      <c r="D5" s="12" t="s">
        <v>48</v>
      </c>
      <c r="E5" s="12" t="s">
        <v>49</v>
      </c>
      <c r="F5" s="12" t="s">
        <v>50</v>
      </c>
      <c r="G5" s="12" t="s">
        <v>51</v>
      </c>
      <c r="H5" s="13" t="n">
        <f aca="false">IF(J5&gt;0,J5,0)</f>
        <v>0</v>
      </c>
      <c r="I5" s="13" t="n">
        <f aca="false">IF(J5&lt;0,-J5,0)</f>
        <v>3000</v>
      </c>
      <c r="J5" s="14" t="n">
        <v>-3000</v>
      </c>
      <c r="K5" s="13" t="n">
        <f aca="false">K4+J5</f>
        <v>4682</v>
      </c>
      <c r="L5" s="14" t="n">
        <v>4682</v>
      </c>
      <c r="M5" s="13" t="n">
        <f aca="false">ROUND(K5-L5,2)</f>
        <v>0</v>
      </c>
      <c r="N5" s="12" t="s">
        <v>43</v>
      </c>
    </row>
    <row r="6" customFormat="false" ht="15" hidden="false" customHeight="true" outlineLevel="0" collapsed="false">
      <c r="A6" s="11" t="n">
        <v>45931</v>
      </c>
      <c r="B6" s="12" t="str">
        <f aca="false">TEXT(A6,"yyyy-mm")</f>
        <v>2025-10</v>
      </c>
      <c r="C6" s="12" t="s">
        <v>38</v>
      </c>
      <c r="D6" s="12" t="s">
        <v>48</v>
      </c>
      <c r="E6" s="12" t="s">
        <v>49</v>
      </c>
      <c r="F6" s="12" t="s">
        <v>50</v>
      </c>
      <c r="G6" s="12" t="s">
        <v>51</v>
      </c>
      <c r="H6" s="13" t="n">
        <f aca="false">IF(J6&gt;0,J6,0)</f>
        <v>0</v>
      </c>
      <c r="I6" s="13" t="n">
        <f aca="false">IF(J6&lt;0,-J6,0)</f>
        <v>1500</v>
      </c>
      <c r="J6" s="14" t="n">
        <v>-1500</v>
      </c>
      <c r="K6" s="13" t="n">
        <f aca="false">K5+J6</f>
        <v>3182</v>
      </c>
      <c r="L6" s="14" t="n">
        <v>3182</v>
      </c>
      <c r="M6" s="13" t="n">
        <f aca="false">ROUND(K6-L6,2)</f>
        <v>0</v>
      </c>
      <c r="N6" s="12" t="s">
        <v>52</v>
      </c>
    </row>
    <row r="7" customFormat="false" ht="15" hidden="false" customHeight="true" outlineLevel="0" collapsed="false">
      <c r="A7" s="11" t="n">
        <v>45936</v>
      </c>
      <c r="B7" s="12" t="str">
        <f aca="false">TEXT(A7,"yyyy-mm")</f>
        <v>2025-10</v>
      </c>
      <c r="C7" s="12" t="s">
        <v>38</v>
      </c>
      <c r="D7" s="12" t="s">
        <v>45</v>
      </c>
      <c r="E7" s="12" t="s">
        <v>46</v>
      </c>
      <c r="F7" s="12" t="s">
        <v>41</v>
      </c>
      <c r="G7" s="12" t="s">
        <v>47</v>
      </c>
      <c r="H7" s="13" t="n">
        <f aca="false">IF(J7&gt;0,J7,0)</f>
        <v>1300</v>
      </c>
      <c r="I7" s="13" t="n">
        <f aca="false">IF(J7&lt;0,-J7,0)</f>
        <v>0</v>
      </c>
      <c r="J7" s="14" t="n">
        <v>1300</v>
      </c>
      <c r="K7" s="13" t="n">
        <f aca="false">K6+J7</f>
        <v>4482</v>
      </c>
      <c r="L7" s="14" t="n">
        <v>4482</v>
      </c>
      <c r="M7" s="13" t="n">
        <f aca="false">ROUND(K7-L7,2)</f>
        <v>0</v>
      </c>
      <c r="N7" s="12" t="s">
        <v>52</v>
      </c>
    </row>
    <row r="8" customFormat="false" ht="15" hidden="false" customHeight="true" outlineLevel="0" collapsed="false">
      <c r="A8" s="11" t="n">
        <v>45936</v>
      </c>
      <c r="B8" s="12" t="str">
        <f aca="false">TEXT(A8,"yyyy-mm")</f>
        <v>2025-10</v>
      </c>
      <c r="C8" s="12" t="s">
        <v>38</v>
      </c>
      <c r="D8" s="12" t="s">
        <v>53</v>
      </c>
      <c r="E8" s="12" t="s">
        <v>54</v>
      </c>
      <c r="F8" s="12" t="s">
        <v>41</v>
      </c>
      <c r="G8" s="12" t="s">
        <v>47</v>
      </c>
      <c r="H8" s="13" t="n">
        <f aca="false">IF(J8&gt;0,J8,0)</f>
        <v>1250</v>
      </c>
      <c r="I8" s="13" t="n">
        <f aca="false">IF(J8&lt;0,-J8,0)</f>
        <v>0</v>
      </c>
      <c r="J8" s="14" t="n">
        <v>1250</v>
      </c>
      <c r="K8" s="13" t="n">
        <f aca="false">K7+J8</f>
        <v>5732</v>
      </c>
      <c r="L8" s="14" t="n">
        <v>5732</v>
      </c>
      <c r="M8" s="13" t="n">
        <f aca="false">ROUND(K8-L8,2)</f>
        <v>0</v>
      </c>
      <c r="N8" s="12" t="s">
        <v>52</v>
      </c>
    </row>
    <row r="9" customFormat="false" ht="15" hidden="false" customHeight="true" outlineLevel="0" collapsed="false">
      <c r="A9" s="11" t="n">
        <v>45936</v>
      </c>
      <c r="B9" s="12" t="str">
        <f aca="false">TEXT(A9,"yyyy-mm")</f>
        <v>2025-10</v>
      </c>
      <c r="C9" s="12" t="s">
        <v>38</v>
      </c>
      <c r="D9" s="12" t="s">
        <v>55</v>
      </c>
      <c r="E9" s="12" t="s">
        <v>56</v>
      </c>
      <c r="F9" s="12" t="s">
        <v>41</v>
      </c>
      <c r="G9" s="12" t="s">
        <v>47</v>
      </c>
      <c r="H9" s="13" t="n">
        <f aca="false">IF(J9&gt;0,J9,0)</f>
        <v>500</v>
      </c>
      <c r="I9" s="13" t="n">
        <f aca="false">IF(J9&lt;0,-J9,0)</f>
        <v>0</v>
      </c>
      <c r="J9" s="14" t="n">
        <v>500</v>
      </c>
      <c r="K9" s="13" t="n">
        <f aca="false">K8+J9</f>
        <v>6232</v>
      </c>
      <c r="L9" s="14" t="n">
        <v>6232</v>
      </c>
      <c r="M9" s="13" t="n">
        <f aca="false">ROUND(K9-L9,2)</f>
        <v>0</v>
      </c>
      <c r="N9" s="12" t="s">
        <v>52</v>
      </c>
    </row>
    <row r="10" customFormat="false" ht="15" hidden="false" customHeight="true" outlineLevel="0" collapsed="false">
      <c r="A10" s="11" t="n">
        <v>45937</v>
      </c>
      <c r="B10" s="12" t="str">
        <f aca="false">TEXT(A10,"yyyy-mm")</f>
        <v>2025-10</v>
      </c>
      <c r="C10" s="12" t="s">
        <v>38</v>
      </c>
      <c r="D10" s="12" t="s">
        <v>55</v>
      </c>
      <c r="E10" s="12" t="s">
        <v>56</v>
      </c>
      <c r="F10" s="12" t="s">
        <v>41</v>
      </c>
      <c r="G10" s="12" t="s">
        <v>47</v>
      </c>
      <c r="H10" s="13" t="n">
        <f aca="false">IF(J10&gt;0,J10,0)</f>
        <v>2500</v>
      </c>
      <c r="I10" s="13" t="n">
        <f aca="false">IF(J10&lt;0,-J10,0)</f>
        <v>0</v>
      </c>
      <c r="J10" s="14" t="n">
        <v>2500</v>
      </c>
      <c r="K10" s="13" t="n">
        <f aca="false">K9+J10</f>
        <v>8732</v>
      </c>
      <c r="L10" s="14" t="n">
        <v>8732</v>
      </c>
      <c r="M10" s="13" t="n">
        <f aca="false">ROUND(K10-L10,2)</f>
        <v>0</v>
      </c>
      <c r="N10" s="12" t="s">
        <v>52</v>
      </c>
    </row>
    <row r="11" customFormat="false" ht="15" hidden="false" customHeight="true" outlineLevel="0" collapsed="false">
      <c r="A11" s="11" t="n">
        <v>45944</v>
      </c>
      <c r="B11" s="12" t="str">
        <f aca="false">TEXT(A11,"yyyy-mm")</f>
        <v>2025-10</v>
      </c>
      <c r="C11" s="12" t="s">
        <v>57</v>
      </c>
      <c r="D11" s="12" t="s">
        <v>58</v>
      </c>
      <c r="E11" s="12" t="s">
        <v>58</v>
      </c>
      <c r="F11" s="12" t="s">
        <v>59</v>
      </c>
      <c r="G11" s="12" t="s">
        <v>60</v>
      </c>
      <c r="H11" s="13" t="n">
        <f aca="false">IF(J11&gt;0,J11,0)</f>
        <v>0</v>
      </c>
      <c r="I11" s="13" t="n">
        <f aca="false">IF(J11&lt;0,-J11,0)</f>
        <v>1000</v>
      </c>
      <c r="J11" s="14" t="n">
        <v>-1000</v>
      </c>
      <c r="K11" s="13" t="n">
        <f aca="false">K10+J11</f>
        <v>7732</v>
      </c>
      <c r="L11" s="14" t="n">
        <v>7732</v>
      </c>
      <c r="M11" s="13" t="n">
        <f aca="false">ROUND(K11-L11,2)</f>
        <v>0</v>
      </c>
      <c r="N11" s="12" t="s">
        <v>52</v>
      </c>
    </row>
    <row r="12" customFormat="false" ht="15" hidden="false" customHeight="true" outlineLevel="0" collapsed="false">
      <c r="A12" s="11" t="n">
        <v>45944</v>
      </c>
      <c r="B12" s="12" t="str">
        <f aca="false">TEXT(A12,"yyyy-mm")</f>
        <v>2025-10</v>
      </c>
      <c r="C12" s="12" t="s">
        <v>38</v>
      </c>
      <c r="D12" s="12" t="s">
        <v>61</v>
      </c>
      <c r="E12" s="12" t="s">
        <v>62</v>
      </c>
      <c r="F12" s="12" t="s">
        <v>63</v>
      </c>
      <c r="G12" s="12" t="s">
        <v>64</v>
      </c>
      <c r="H12" s="13" t="n">
        <f aca="false">IF(J12&gt;0,J12,0)</f>
        <v>0</v>
      </c>
      <c r="I12" s="13" t="n">
        <f aca="false">IF(J12&lt;0,-J12,0)</f>
        <v>2000</v>
      </c>
      <c r="J12" s="14" t="n">
        <v>-2000</v>
      </c>
      <c r="K12" s="13" t="n">
        <f aca="false">K11+J12</f>
        <v>5732</v>
      </c>
      <c r="L12" s="14" t="n">
        <v>5732</v>
      </c>
      <c r="M12" s="13" t="n">
        <f aca="false">ROUND(K12-L12,2)</f>
        <v>0</v>
      </c>
      <c r="N12" s="12" t="s">
        <v>52</v>
      </c>
    </row>
    <row r="13" customFormat="false" ht="15" hidden="false" customHeight="true" outlineLevel="0" collapsed="false">
      <c r="A13" s="11" t="n">
        <v>45947</v>
      </c>
      <c r="B13" s="12" t="str">
        <f aca="false">TEXT(A13,"yyyy-mm")</f>
        <v>2025-10</v>
      </c>
      <c r="C13" s="12" t="s">
        <v>65</v>
      </c>
      <c r="D13" s="12" t="s">
        <v>66</v>
      </c>
      <c r="E13" s="12" t="s">
        <v>67</v>
      </c>
      <c r="F13" s="12" t="s">
        <v>63</v>
      </c>
      <c r="G13" s="12" t="s">
        <v>68</v>
      </c>
      <c r="H13" s="13" t="n">
        <f aca="false">IF(J13&gt;0,J13,0)</f>
        <v>0</v>
      </c>
      <c r="I13" s="13" t="n">
        <f aca="false">IF(J13&lt;0,-J13,0)</f>
        <v>2139.83</v>
      </c>
      <c r="J13" s="14" t="n">
        <v>-2139.83</v>
      </c>
      <c r="K13" s="13" t="n">
        <f aca="false">K12+J13</f>
        <v>3592.17</v>
      </c>
      <c r="L13" s="14" t="n">
        <v>3592.17</v>
      </c>
      <c r="M13" s="13" t="n">
        <f aca="false">ROUND(K13-L13,2)</f>
        <v>0</v>
      </c>
      <c r="N13" s="12" t="s">
        <v>52</v>
      </c>
    </row>
    <row r="14" customFormat="false" ht="15" hidden="false" customHeight="true" outlineLevel="0" collapsed="false">
      <c r="A14" s="11" t="n">
        <v>45947</v>
      </c>
      <c r="B14" s="12" t="str">
        <f aca="false">TEXT(A14,"yyyy-mm")</f>
        <v>2025-10</v>
      </c>
      <c r="C14" s="12" t="s">
        <v>65</v>
      </c>
      <c r="D14" s="12" t="s">
        <v>66</v>
      </c>
      <c r="E14" s="12" t="s">
        <v>69</v>
      </c>
      <c r="F14" s="12" t="s">
        <v>63</v>
      </c>
      <c r="G14" s="12" t="s">
        <v>70</v>
      </c>
      <c r="H14" s="13" t="n">
        <f aca="false">IF(J14&gt;0,J14,0)</f>
        <v>0</v>
      </c>
      <c r="I14" s="13" t="n">
        <f aca="false">IF(J14&lt;0,-J14,0)</f>
        <v>1160.58</v>
      </c>
      <c r="J14" s="14" t="n">
        <v>-1160.58</v>
      </c>
      <c r="K14" s="13" t="n">
        <f aca="false">K13+J14</f>
        <v>2431.59</v>
      </c>
      <c r="L14" s="14" t="n">
        <v>2431.59</v>
      </c>
      <c r="M14" s="13" t="n">
        <f aca="false">ROUND(K14-L14,2)</f>
        <v>0</v>
      </c>
      <c r="N14" s="12" t="s">
        <v>52</v>
      </c>
    </row>
    <row r="15" customFormat="false" ht="15" hidden="false" customHeight="true" outlineLevel="0" collapsed="false">
      <c r="A15" s="11" t="n">
        <v>45972</v>
      </c>
      <c r="B15" s="12" t="str">
        <f aca="false">TEXT(A15,"yyyy-mm")</f>
        <v>2025-11</v>
      </c>
      <c r="C15" s="12" t="s">
        <v>38</v>
      </c>
      <c r="D15" s="12" t="s">
        <v>71</v>
      </c>
      <c r="E15" s="12" t="s">
        <v>72</v>
      </c>
      <c r="F15" s="12" t="s">
        <v>41</v>
      </c>
      <c r="G15" s="12" t="s">
        <v>73</v>
      </c>
      <c r="H15" s="13" t="n">
        <f aca="false">IF(J15&gt;0,J15,0)</f>
        <v>1000</v>
      </c>
      <c r="I15" s="13" t="n">
        <f aca="false">IF(J15&lt;0,-J15,0)</f>
        <v>0</v>
      </c>
      <c r="J15" s="14" t="n">
        <v>1000</v>
      </c>
      <c r="K15" s="13" t="n">
        <f aca="false">K14+J15</f>
        <v>3431.59</v>
      </c>
      <c r="L15" s="14" t="n">
        <v>3431.59</v>
      </c>
      <c r="M15" s="13" t="n">
        <f aca="false">ROUND(K15-L15,2)</f>
        <v>0</v>
      </c>
      <c r="N15" s="12" t="s">
        <v>52</v>
      </c>
    </row>
    <row r="16" customFormat="false" ht="15" hidden="false" customHeight="true" outlineLevel="0" collapsed="false">
      <c r="A16" s="11" t="n">
        <v>45978</v>
      </c>
      <c r="B16" s="12" t="str">
        <f aca="false">TEXT(A16,"yyyy-mm")</f>
        <v>2025-11</v>
      </c>
      <c r="C16" s="12" t="s">
        <v>65</v>
      </c>
      <c r="D16" s="12" t="s">
        <v>66</v>
      </c>
      <c r="E16" s="12" t="s">
        <v>67</v>
      </c>
      <c r="F16" s="12" t="s">
        <v>63</v>
      </c>
      <c r="G16" s="12" t="s">
        <v>68</v>
      </c>
      <c r="H16" s="13" t="n">
        <f aca="false">IF(J16&gt;0,J16,0)</f>
        <v>0</v>
      </c>
      <c r="I16" s="13" t="n">
        <f aca="false">IF(J16&lt;0,-J16,0)</f>
        <v>2139.83</v>
      </c>
      <c r="J16" s="14" t="n">
        <v>-2139.83</v>
      </c>
      <c r="K16" s="13" t="n">
        <f aca="false">K15+J16</f>
        <v>1291.76</v>
      </c>
      <c r="L16" s="14" t="n">
        <v>1291.76</v>
      </c>
      <c r="M16" s="13" t="n">
        <f aca="false">ROUND(K16-L16,2)</f>
        <v>0</v>
      </c>
      <c r="N16" s="12" t="s">
        <v>52</v>
      </c>
    </row>
    <row r="17" customFormat="false" ht="15" hidden="false" customHeight="true" outlineLevel="0" collapsed="false">
      <c r="A17" s="11" t="n">
        <v>45978</v>
      </c>
      <c r="B17" s="12" t="str">
        <f aca="false">TEXT(A17,"yyyy-mm")</f>
        <v>2025-11</v>
      </c>
      <c r="C17" s="12" t="s">
        <v>65</v>
      </c>
      <c r="D17" s="12" t="s">
        <v>66</v>
      </c>
      <c r="E17" s="12" t="s">
        <v>69</v>
      </c>
      <c r="F17" s="12" t="s">
        <v>63</v>
      </c>
      <c r="G17" s="12" t="s">
        <v>70</v>
      </c>
      <c r="H17" s="13" t="n">
        <f aca="false">IF(J17&gt;0,J17,0)</f>
        <v>0</v>
      </c>
      <c r="I17" s="13" t="n">
        <f aca="false">IF(J17&lt;0,-J17,0)</f>
        <v>1160.58</v>
      </c>
      <c r="J17" s="14" t="n">
        <v>-1160.58</v>
      </c>
      <c r="K17" s="13" t="n">
        <f aca="false">K16+J17</f>
        <v>131.18</v>
      </c>
      <c r="L17" s="14" t="n">
        <v>131.18</v>
      </c>
      <c r="M17" s="13" t="n">
        <f aca="false">ROUND(K17-L17,2)</f>
        <v>0</v>
      </c>
      <c r="N17" s="12" t="s">
        <v>52</v>
      </c>
    </row>
    <row r="18" customFormat="false" ht="15" hidden="false" customHeight="true" outlineLevel="0" collapsed="false">
      <c r="A18" s="11" t="n">
        <v>46007</v>
      </c>
      <c r="B18" s="12" t="str">
        <f aca="false">TEXT(A18,"yyyy-mm")</f>
        <v>2025-12</v>
      </c>
      <c r="C18" s="12" t="s">
        <v>57</v>
      </c>
      <c r="D18" s="12" t="s">
        <v>58</v>
      </c>
      <c r="E18" s="12" t="s">
        <v>58</v>
      </c>
      <c r="F18" s="12" t="s">
        <v>59</v>
      </c>
      <c r="G18" s="12" t="s">
        <v>60</v>
      </c>
      <c r="H18" s="13" t="n">
        <f aca="false">IF(J18&gt;0,J18,0)</f>
        <v>2000</v>
      </c>
      <c r="I18" s="13" t="n">
        <f aca="false">IF(J18&lt;0,-J18,0)</f>
        <v>0</v>
      </c>
      <c r="J18" s="14" t="n">
        <v>2000</v>
      </c>
      <c r="K18" s="13" t="n">
        <f aca="false">K17+J18</f>
        <v>2131.18</v>
      </c>
      <c r="L18" s="14" t="n">
        <v>2131.18</v>
      </c>
      <c r="M18" s="13" t="n">
        <f aca="false">ROUND(K18-L18,2)</f>
        <v>0</v>
      </c>
      <c r="N18" s="12" t="s">
        <v>74</v>
      </c>
    </row>
    <row r="19" customFormat="false" ht="15" hidden="false" customHeight="true" outlineLevel="0" collapsed="false">
      <c r="A19" s="11" t="n">
        <v>46007</v>
      </c>
      <c r="B19" s="12" t="str">
        <f aca="false">TEXT(A19,"yyyy-mm")</f>
        <v>2025-12</v>
      </c>
      <c r="C19" s="12" t="s">
        <v>38</v>
      </c>
      <c r="D19" s="12" t="s">
        <v>71</v>
      </c>
      <c r="E19" s="12" t="s">
        <v>72</v>
      </c>
      <c r="F19" s="12" t="s">
        <v>41</v>
      </c>
      <c r="G19" s="12" t="s">
        <v>73</v>
      </c>
      <c r="H19" s="13" t="n">
        <f aca="false">IF(J19&gt;0,J19,0)</f>
        <v>1100</v>
      </c>
      <c r="I19" s="13" t="n">
        <f aca="false">IF(J19&lt;0,-J19,0)</f>
        <v>0</v>
      </c>
      <c r="J19" s="14" t="n">
        <v>1100</v>
      </c>
      <c r="K19" s="13" t="n">
        <f aca="false">K18+J19</f>
        <v>3231.18</v>
      </c>
      <c r="L19" s="14" t="n">
        <v>3231.18</v>
      </c>
      <c r="M19" s="13" t="n">
        <f aca="false">ROUND(K19-L19,2)</f>
        <v>0</v>
      </c>
      <c r="N19" s="12" t="s">
        <v>74</v>
      </c>
    </row>
    <row r="20" customFormat="false" ht="15" hidden="false" customHeight="true" outlineLevel="0" collapsed="false">
      <c r="A20" s="11" t="n">
        <v>46007</v>
      </c>
      <c r="B20" s="12" t="str">
        <f aca="false">TEXT(A20,"yyyy-mm")</f>
        <v>2025-12</v>
      </c>
      <c r="C20" s="12" t="s">
        <v>38</v>
      </c>
      <c r="D20" s="12" t="s">
        <v>75</v>
      </c>
      <c r="E20" s="12" t="s">
        <v>76</v>
      </c>
      <c r="F20" s="12" t="s">
        <v>41</v>
      </c>
      <c r="G20" s="12" t="s">
        <v>73</v>
      </c>
      <c r="H20" s="13" t="n">
        <f aca="false">IF(J20&gt;0,J20,0)</f>
        <v>100</v>
      </c>
      <c r="I20" s="13" t="n">
        <f aca="false">IF(J20&lt;0,-J20,0)</f>
        <v>0</v>
      </c>
      <c r="J20" s="14" t="n">
        <v>100</v>
      </c>
      <c r="K20" s="13" t="n">
        <f aca="false">K19+J20</f>
        <v>3331.18</v>
      </c>
      <c r="L20" s="14" t="n">
        <v>3331.18</v>
      </c>
      <c r="M20" s="13" t="n">
        <f aca="false">ROUND(K20-L20,2)</f>
        <v>0</v>
      </c>
      <c r="N20" s="12" t="s">
        <v>74</v>
      </c>
    </row>
    <row r="21" customFormat="false" ht="15" hidden="false" customHeight="true" outlineLevel="0" collapsed="false">
      <c r="A21" s="11" t="n">
        <v>46008</v>
      </c>
      <c r="B21" s="12" t="str">
        <f aca="false">TEXT(A21,"yyyy-mm")</f>
        <v>2025-12</v>
      </c>
      <c r="C21" s="12" t="s">
        <v>65</v>
      </c>
      <c r="D21" s="12" t="s">
        <v>66</v>
      </c>
      <c r="E21" s="12" t="s">
        <v>69</v>
      </c>
      <c r="F21" s="12" t="s">
        <v>63</v>
      </c>
      <c r="G21" s="12" t="s">
        <v>70</v>
      </c>
      <c r="H21" s="13" t="n">
        <f aca="false">IF(J21&gt;0,J21,0)</f>
        <v>0</v>
      </c>
      <c r="I21" s="13" t="n">
        <f aca="false">IF(J21&lt;0,-J21,0)</f>
        <v>1160.58</v>
      </c>
      <c r="J21" s="14" t="n">
        <v>-1160.58</v>
      </c>
      <c r="K21" s="13" t="n">
        <f aca="false">K20+J21</f>
        <v>2170.6</v>
      </c>
      <c r="L21" s="14" t="n">
        <v>2170.6</v>
      </c>
      <c r="M21" s="13" t="n">
        <f aca="false">ROUND(K21-L21,2)</f>
        <v>0</v>
      </c>
      <c r="N21" s="12" t="s">
        <v>74</v>
      </c>
    </row>
    <row r="22" customFormat="false" ht="15" hidden="false" customHeight="true" outlineLevel="0" collapsed="false">
      <c r="A22" s="11" t="n">
        <v>46008</v>
      </c>
      <c r="B22" s="12" t="str">
        <f aca="false">TEXT(A22,"yyyy-mm")</f>
        <v>2025-12</v>
      </c>
      <c r="C22" s="12" t="s">
        <v>65</v>
      </c>
      <c r="D22" s="12" t="s">
        <v>66</v>
      </c>
      <c r="E22" s="12" t="s">
        <v>67</v>
      </c>
      <c r="F22" s="12" t="s">
        <v>63</v>
      </c>
      <c r="G22" s="12" t="s">
        <v>68</v>
      </c>
      <c r="H22" s="13" t="n">
        <f aca="false">IF(J22&gt;0,J22,0)</f>
        <v>0</v>
      </c>
      <c r="I22" s="13" t="n">
        <f aca="false">IF(J22&lt;0,-J22,0)</f>
        <v>2139.83</v>
      </c>
      <c r="J22" s="14" t="n">
        <v>-2139.83</v>
      </c>
      <c r="K22" s="13" t="n">
        <f aca="false">K21+J22</f>
        <v>30.7700000000004</v>
      </c>
      <c r="L22" s="14" t="n">
        <v>30.77</v>
      </c>
      <c r="M22" s="13" t="n">
        <f aca="false">ROUND(K22-L22,2)</f>
        <v>0</v>
      </c>
      <c r="N22" s="12" t="s">
        <v>74</v>
      </c>
    </row>
    <row r="23" customFormat="false" ht="15" hidden="false" customHeight="true" outlineLevel="0" collapsed="false">
      <c r="A23" s="11" t="n">
        <v>46008</v>
      </c>
      <c r="B23" s="12" t="str">
        <f aca="false">TEXT(A23,"yyyy-mm")</f>
        <v>2025-12</v>
      </c>
      <c r="C23" s="12" t="s">
        <v>38</v>
      </c>
      <c r="D23" s="12" t="s">
        <v>77</v>
      </c>
      <c r="E23" s="12" t="s">
        <v>78</v>
      </c>
      <c r="F23" s="12" t="s">
        <v>41</v>
      </c>
      <c r="G23" s="12" t="s">
        <v>79</v>
      </c>
      <c r="H23" s="13" t="n">
        <f aca="false">IF(J23&gt;0,J23,0)</f>
        <v>800</v>
      </c>
      <c r="I23" s="13" t="n">
        <f aca="false">IF(J23&lt;0,-J23,0)</f>
        <v>0</v>
      </c>
      <c r="J23" s="14" t="n">
        <v>800</v>
      </c>
      <c r="K23" s="13" t="n">
        <f aca="false">K22+J23</f>
        <v>830.77</v>
      </c>
      <c r="L23" s="14" t="n">
        <v>830.77</v>
      </c>
      <c r="M23" s="13" t="n">
        <f aca="false">ROUND(K23-L23,2)</f>
        <v>0</v>
      </c>
      <c r="N23" s="12" t="s">
        <v>74</v>
      </c>
    </row>
    <row r="24" customFormat="false" ht="15" hidden="false" customHeight="true" outlineLevel="0" collapsed="false">
      <c r="A24" s="11" t="n">
        <v>46015</v>
      </c>
      <c r="B24" s="12" t="str">
        <f aca="false">TEXT(A24,"yyyy-mm")</f>
        <v>2025-12</v>
      </c>
      <c r="C24" s="12" t="s">
        <v>38</v>
      </c>
      <c r="D24" s="12" t="s">
        <v>77</v>
      </c>
      <c r="E24" s="12" t="s">
        <v>78</v>
      </c>
      <c r="F24" s="12" t="s">
        <v>41</v>
      </c>
      <c r="G24" s="12" t="s">
        <v>79</v>
      </c>
      <c r="H24" s="13" t="n">
        <f aca="false">IF(J24&gt;0,J24,0)</f>
        <v>500</v>
      </c>
      <c r="I24" s="13" t="n">
        <f aca="false">IF(J24&lt;0,-J24,0)</f>
        <v>0</v>
      </c>
      <c r="J24" s="14" t="n">
        <v>500</v>
      </c>
      <c r="K24" s="13" t="n">
        <f aca="false">K23+J24</f>
        <v>1330.77</v>
      </c>
      <c r="L24" s="14" t="n">
        <v>1330.77</v>
      </c>
      <c r="M24" s="13" t="n">
        <f aca="false">ROUND(K24-L24,2)</f>
        <v>0</v>
      </c>
      <c r="N24" s="12" t="s">
        <v>74</v>
      </c>
    </row>
    <row r="25" customFormat="false" ht="15" hidden="false" customHeight="true" outlineLevel="0" collapsed="false">
      <c r="A25" s="11" t="n">
        <v>46015</v>
      </c>
      <c r="B25" s="12" t="str">
        <f aca="false">TEXT(A25,"yyyy-mm")</f>
        <v>2025-12</v>
      </c>
      <c r="C25" s="12" t="s">
        <v>38</v>
      </c>
      <c r="D25" s="12" t="s">
        <v>80</v>
      </c>
      <c r="E25" s="12" t="s">
        <v>80</v>
      </c>
      <c r="F25" s="12" t="s">
        <v>63</v>
      </c>
      <c r="G25" s="12" t="s">
        <v>64</v>
      </c>
      <c r="H25" s="13" t="n">
        <f aca="false">IF(J25&gt;0,J25,0)</f>
        <v>0</v>
      </c>
      <c r="I25" s="13" t="n">
        <f aca="false">IF(J25&lt;0,-J25,0)</f>
        <v>200</v>
      </c>
      <c r="J25" s="14" t="n">
        <v>-200</v>
      </c>
      <c r="K25" s="13" t="n">
        <f aca="false">K24+J25</f>
        <v>1130.77</v>
      </c>
      <c r="L25" s="14" t="n">
        <v>1130.77</v>
      </c>
      <c r="M25" s="13" t="n">
        <f aca="false">ROUND(K25-L25,2)</f>
        <v>0</v>
      </c>
      <c r="N25" s="12" t="s">
        <v>74</v>
      </c>
    </row>
    <row r="26" customFormat="false" ht="15" hidden="false" customHeight="true" outlineLevel="0" collapsed="false">
      <c r="A26" s="11" t="n">
        <v>46021</v>
      </c>
      <c r="B26" s="12" t="str">
        <f aca="false">TEXT(A26,"yyyy-mm")</f>
        <v>2025-12</v>
      </c>
      <c r="C26" s="12" t="s">
        <v>38</v>
      </c>
      <c r="D26" s="12" t="s">
        <v>77</v>
      </c>
      <c r="E26" s="12" t="s">
        <v>78</v>
      </c>
      <c r="F26" s="12" t="s">
        <v>41</v>
      </c>
      <c r="G26" s="12" t="s">
        <v>79</v>
      </c>
      <c r="H26" s="13" t="n">
        <f aca="false">IF(J26&gt;0,J26,0)</f>
        <v>800</v>
      </c>
      <c r="I26" s="13" t="n">
        <f aca="false">IF(J26&lt;0,-J26,0)</f>
        <v>0</v>
      </c>
      <c r="J26" s="14" t="n">
        <v>800</v>
      </c>
      <c r="K26" s="13" t="n">
        <f aca="false">K25+J26</f>
        <v>1930.77</v>
      </c>
      <c r="L26" s="14" t="n">
        <v>1930.77</v>
      </c>
      <c r="M26" s="13" t="n">
        <f aca="false">ROUND(K26-L26,2)</f>
        <v>0</v>
      </c>
      <c r="N26" s="12" t="s">
        <v>74</v>
      </c>
    </row>
    <row r="27" customFormat="false" ht="15" hidden="false" customHeight="true" outlineLevel="0" collapsed="false">
      <c r="A27" s="11" t="n">
        <v>46028</v>
      </c>
      <c r="B27" s="12" t="str">
        <f aca="false">TEXT(A27,"yyyy-mm")</f>
        <v>2026-01</v>
      </c>
      <c r="C27" s="12" t="s">
        <v>38</v>
      </c>
      <c r="D27" s="12" t="s">
        <v>77</v>
      </c>
      <c r="E27" s="12" t="s">
        <v>78</v>
      </c>
      <c r="F27" s="12" t="s">
        <v>41</v>
      </c>
      <c r="G27" s="12" t="s">
        <v>79</v>
      </c>
      <c r="H27" s="13" t="n">
        <f aca="false">IF(J27&gt;0,J27,0)</f>
        <v>900</v>
      </c>
      <c r="I27" s="13" t="n">
        <f aca="false">IF(J27&lt;0,-J27,0)</f>
        <v>0</v>
      </c>
      <c r="J27" s="14" t="n">
        <v>900</v>
      </c>
      <c r="K27" s="13" t="n">
        <f aca="false">K26+J27</f>
        <v>2830.77</v>
      </c>
      <c r="L27" s="14" t="n">
        <v>2830.77</v>
      </c>
      <c r="M27" s="13" t="n">
        <f aca="false">ROUND(K27-L27,2)</f>
        <v>0</v>
      </c>
      <c r="N27" s="12" t="s">
        <v>74</v>
      </c>
    </row>
    <row r="28" customFormat="false" ht="15" hidden="false" customHeight="true" outlineLevel="0" collapsed="false">
      <c r="A28" s="11" t="n">
        <v>46038</v>
      </c>
      <c r="B28" s="12" t="str">
        <f aca="false">TEXT(A28,"yyyy-mm")</f>
        <v>2026-01</v>
      </c>
      <c r="C28" s="12" t="s">
        <v>38</v>
      </c>
      <c r="D28" s="12" t="s">
        <v>77</v>
      </c>
      <c r="E28" s="12" t="s">
        <v>78</v>
      </c>
      <c r="F28" s="12" t="s">
        <v>41</v>
      </c>
      <c r="G28" s="12" t="s">
        <v>79</v>
      </c>
      <c r="H28" s="13" t="n">
        <f aca="false">IF(J28&gt;0,J28,0)</f>
        <v>400</v>
      </c>
      <c r="I28" s="13" t="n">
        <f aca="false">IF(J28&lt;0,-J28,0)</f>
        <v>0</v>
      </c>
      <c r="J28" s="14" t="n">
        <v>400</v>
      </c>
      <c r="K28" s="13" t="n">
        <f aca="false">K27+J28</f>
        <v>3230.77</v>
      </c>
      <c r="L28" s="14" t="n">
        <v>3230.77</v>
      </c>
      <c r="M28" s="13" t="n">
        <f aca="false">ROUND(K28-L28,2)</f>
        <v>0</v>
      </c>
      <c r="N28" s="12" t="s">
        <v>74</v>
      </c>
    </row>
    <row r="29" customFormat="false" ht="15" hidden="false" customHeight="true" outlineLevel="0" collapsed="false">
      <c r="A29" s="11" t="n">
        <v>46038</v>
      </c>
      <c r="B29" s="12" t="str">
        <f aca="false">TEXT(A29,"yyyy-mm")</f>
        <v>2026-01</v>
      </c>
      <c r="C29" s="12" t="s">
        <v>38</v>
      </c>
      <c r="D29" s="12" t="s">
        <v>81</v>
      </c>
      <c r="E29" s="12" t="s">
        <v>82</v>
      </c>
      <c r="F29" s="12" t="s">
        <v>59</v>
      </c>
      <c r="G29" s="12" t="s">
        <v>60</v>
      </c>
      <c r="H29" s="13" t="n">
        <f aca="false">IF(J29&gt;0,J29,0)</f>
        <v>200</v>
      </c>
      <c r="I29" s="13" t="n">
        <f aca="false">IF(J29&lt;0,-J29,0)</f>
        <v>0</v>
      </c>
      <c r="J29" s="14" t="n">
        <v>200</v>
      </c>
      <c r="K29" s="13" t="n">
        <f aca="false">K28+J29</f>
        <v>3430.77</v>
      </c>
      <c r="L29" s="14" t="n">
        <v>3430.77</v>
      </c>
      <c r="M29" s="13" t="n">
        <f aca="false">ROUND(K29-L29,2)</f>
        <v>0</v>
      </c>
      <c r="N29" s="12" t="s">
        <v>74</v>
      </c>
    </row>
    <row r="30" customFormat="false" ht="15" hidden="false" customHeight="true" outlineLevel="0" collapsed="false">
      <c r="A30" s="11" t="n">
        <v>46040</v>
      </c>
      <c r="B30" s="12" t="str">
        <f aca="false">TEXT(A30,"yyyy-mm")</f>
        <v>2026-01</v>
      </c>
      <c r="C30" s="12" t="s">
        <v>38</v>
      </c>
      <c r="D30" s="12" t="s">
        <v>83</v>
      </c>
      <c r="E30" s="12" t="s">
        <v>84</v>
      </c>
      <c r="F30" s="12" t="s">
        <v>41</v>
      </c>
      <c r="G30" s="12" t="s">
        <v>47</v>
      </c>
      <c r="H30" s="13" t="n">
        <f aca="false">IF(J30&gt;0,J30,0)</f>
        <v>300</v>
      </c>
      <c r="I30" s="13" t="n">
        <f aca="false">IF(J30&lt;0,-J30,0)</f>
        <v>0</v>
      </c>
      <c r="J30" s="14" t="n">
        <v>300</v>
      </c>
      <c r="K30" s="13" t="n">
        <f aca="false">K29+J30</f>
        <v>3730.77</v>
      </c>
      <c r="L30" s="14" t="n">
        <v>3730.77</v>
      </c>
      <c r="M30" s="13" t="n">
        <f aca="false">ROUND(K30-L30,2)</f>
        <v>0</v>
      </c>
      <c r="N30" s="12" t="s">
        <v>74</v>
      </c>
    </row>
    <row r="31" customFormat="false" ht="15" hidden="false" customHeight="true" outlineLevel="0" collapsed="false">
      <c r="A31" s="11" t="n">
        <v>46041</v>
      </c>
      <c r="B31" s="12" t="str">
        <f aca="false">TEXT(A31,"yyyy-mm")</f>
        <v>2026-01</v>
      </c>
      <c r="C31" s="12" t="s">
        <v>65</v>
      </c>
      <c r="D31" s="12" t="s">
        <v>66</v>
      </c>
      <c r="E31" s="12" t="s">
        <v>69</v>
      </c>
      <c r="F31" s="12" t="s">
        <v>63</v>
      </c>
      <c r="G31" s="12" t="s">
        <v>70</v>
      </c>
      <c r="H31" s="13" t="n">
        <f aca="false">IF(J31&gt;0,J31,0)</f>
        <v>0</v>
      </c>
      <c r="I31" s="13" t="n">
        <f aca="false">IF(J31&lt;0,-J31,0)</f>
        <v>1160.58</v>
      </c>
      <c r="J31" s="14" t="n">
        <v>-1160.58</v>
      </c>
      <c r="K31" s="13" t="n">
        <f aca="false">K30+J31</f>
        <v>2570.19</v>
      </c>
      <c r="L31" s="14" t="n">
        <v>2570.19</v>
      </c>
      <c r="M31" s="13" t="n">
        <f aca="false">ROUND(K31-L31,2)</f>
        <v>0</v>
      </c>
      <c r="N31" s="12" t="s">
        <v>74</v>
      </c>
    </row>
    <row r="32" customFormat="false" ht="15" hidden="false" customHeight="true" outlineLevel="0" collapsed="false">
      <c r="A32" s="11" t="n">
        <v>46041</v>
      </c>
      <c r="B32" s="12" t="str">
        <f aca="false">TEXT(A32,"yyyy-mm")</f>
        <v>2026-01</v>
      </c>
      <c r="C32" s="12" t="s">
        <v>65</v>
      </c>
      <c r="D32" s="12" t="s">
        <v>66</v>
      </c>
      <c r="E32" s="12" t="s">
        <v>67</v>
      </c>
      <c r="F32" s="12" t="s">
        <v>63</v>
      </c>
      <c r="G32" s="12" t="s">
        <v>68</v>
      </c>
      <c r="H32" s="13" t="n">
        <f aca="false">IF(J32&gt;0,J32,0)</f>
        <v>0</v>
      </c>
      <c r="I32" s="13" t="n">
        <f aca="false">IF(J32&lt;0,-J32,0)</f>
        <v>2139.83</v>
      </c>
      <c r="J32" s="14" t="n">
        <v>-2139.83</v>
      </c>
      <c r="K32" s="13" t="n">
        <f aca="false">K31+J32</f>
        <v>430.360000000001</v>
      </c>
      <c r="L32" s="14" t="n">
        <v>430.36</v>
      </c>
      <c r="M32" s="13" t="n">
        <f aca="false">ROUND(K32-L32,2)</f>
        <v>0</v>
      </c>
      <c r="N32" s="12" t="s">
        <v>74</v>
      </c>
    </row>
    <row r="33" customFormat="false" ht="15" hidden="false" customHeight="true" outlineLevel="0" collapsed="false">
      <c r="A33" s="11" t="n">
        <v>46043</v>
      </c>
      <c r="B33" s="12" t="str">
        <f aca="false">TEXT(A33,"yyyy-mm")</f>
        <v>2026-01</v>
      </c>
      <c r="C33" s="12" t="s">
        <v>38</v>
      </c>
      <c r="D33" s="12" t="s">
        <v>77</v>
      </c>
      <c r="E33" s="12" t="s">
        <v>78</v>
      </c>
      <c r="F33" s="12" t="s">
        <v>41</v>
      </c>
      <c r="G33" s="12" t="s">
        <v>79</v>
      </c>
      <c r="H33" s="13" t="n">
        <f aca="false">IF(J33&gt;0,J33,0)</f>
        <v>600</v>
      </c>
      <c r="I33" s="13" t="n">
        <f aca="false">IF(J33&lt;0,-J33,0)</f>
        <v>0</v>
      </c>
      <c r="J33" s="14" t="n">
        <v>600</v>
      </c>
      <c r="K33" s="13" t="n">
        <f aca="false">K32+J33</f>
        <v>1030.36</v>
      </c>
      <c r="L33" s="14" t="n">
        <v>1030.36</v>
      </c>
      <c r="M33" s="13" t="n">
        <f aca="false">ROUND(K33-L33,2)</f>
        <v>0</v>
      </c>
      <c r="N33" s="12" t="s">
        <v>74</v>
      </c>
    </row>
    <row r="34" customFormat="false" ht="15" hidden="false" customHeight="true" outlineLevel="0" collapsed="false">
      <c r="A34" s="11" t="n">
        <v>46065</v>
      </c>
      <c r="B34" s="12" t="str">
        <f aca="false">TEXT(A34,"yyyy-mm")</f>
        <v>2026-02</v>
      </c>
      <c r="C34" s="12" t="s">
        <v>38</v>
      </c>
      <c r="D34" s="12" t="s">
        <v>85</v>
      </c>
      <c r="E34" s="12" t="s">
        <v>86</v>
      </c>
      <c r="F34" s="12" t="s">
        <v>41</v>
      </c>
      <c r="G34" s="12" t="s">
        <v>42</v>
      </c>
      <c r="H34" s="13" t="n">
        <f aca="false">IF(J34&gt;0,J34,0)</f>
        <v>1000</v>
      </c>
      <c r="I34" s="13" t="n">
        <f aca="false">IF(J34&lt;0,-J34,0)</f>
        <v>0</v>
      </c>
      <c r="J34" s="14" t="n">
        <v>1000</v>
      </c>
      <c r="K34" s="13" t="n">
        <f aca="false">K33+J34</f>
        <v>2030.36</v>
      </c>
      <c r="L34" s="14" t="n">
        <v>2030.36</v>
      </c>
      <c r="M34" s="13" t="n">
        <f aca="false">ROUND(K34-L34,2)</f>
        <v>0</v>
      </c>
      <c r="N34" s="12" t="s">
        <v>74</v>
      </c>
    </row>
    <row r="35" customFormat="false" ht="15" hidden="false" customHeight="true" outlineLevel="0" collapsed="false">
      <c r="A35" s="11" t="n">
        <v>46069</v>
      </c>
      <c r="B35" s="12" t="str">
        <f aca="false">TEXT(A35,"yyyy-mm")</f>
        <v>2026-02</v>
      </c>
      <c r="C35" s="12" t="s">
        <v>87</v>
      </c>
      <c r="D35" s="12" t="s">
        <v>88</v>
      </c>
      <c r="E35" s="12" t="s">
        <v>89</v>
      </c>
      <c r="F35" s="12" t="s">
        <v>59</v>
      </c>
      <c r="G35" s="12" t="s">
        <v>60</v>
      </c>
      <c r="H35" s="13" t="n">
        <f aca="false">IF(J35&gt;0,J35,0)</f>
        <v>1400</v>
      </c>
      <c r="I35" s="13" t="n">
        <f aca="false">IF(J35&lt;0,-J35,0)</f>
        <v>0</v>
      </c>
      <c r="J35" s="14" t="n">
        <v>1400</v>
      </c>
      <c r="K35" s="13" t="n">
        <f aca="false">K34+J35</f>
        <v>3430.36</v>
      </c>
      <c r="L35" s="14" t="n">
        <v>3430.36</v>
      </c>
      <c r="M35" s="13" t="n">
        <f aca="false">ROUND(K35-L35,2)</f>
        <v>0</v>
      </c>
      <c r="N35" s="12" t="s">
        <v>74</v>
      </c>
    </row>
    <row r="36" customFormat="false" ht="15" hidden="false" customHeight="true" outlineLevel="0" collapsed="false">
      <c r="A36" s="11" t="n">
        <v>46070</v>
      </c>
      <c r="B36" s="12" t="str">
        <f aca="false">TEXT(A36,"yyyy-mm")</f>
        <v>2026-02</v>
      </c>
      <c r="C36" s="12" t="s">
        <v>65</v>
      </c>
      <c r="D36" s="12" t="s">
        <v>66</v>
      </c>
      <c r="E36" s="12" t="s">
        <v>69</v>
      </c>
      <c r="F36" s="12" t="s">
        <v>63</v>
      </c>
      <c r="G36" s="12" t="s">
        <v>70</v>
      </c>
      <c r="H36" s="13" t="n">
        <f aca="false">IF(J36&gt;0,J36,0)</f>
        <v>0</v>
      </c>
      <c r="I36" s="13" t="n">
        <f aca="false">IF(J36&lt;0,-J36,0)</f>
        <v>1160.58</v>
      </c>
      <c r="J36" s="14" t="n">
        <v>-1160.58</v>
      </c>
      <c r="K36" s="13" t="n">
        <f aca="false">K35+J36</f>
        <v>2269.78</v>
      </c>
      <c r="L36" s="14" t="n">
        <v>2269.78</v>
      </c>
      <c r="M36" s="13" t="n">
        <f aca="false">ROUND(K36-L36,2)</f>
        <v>0</v>
      </c>
      <c r="N36" s="12" t="s">
        <v>74</v>
      </c>
    </row>
    <row r="37" customFormat="false" ht="15" hidden="false" customHeight="true" outlineLevel="0" collapsed="false">
      <c r="A37" s="11" t="n">
        <v>46070</v>
      </c>
      <c r="B37" s="12" t="str">
        <f aca="false">TEXT(A37,"yyyy-mm")</f>
        <v>2026-02</v>
      </c>
      <c r="C37" s="12" t="s">
        <v>65</v>
      </c>
      <c r="D37" s="12" t="s">
        <v>66</v>
      </c>
      <c r="E37" s="12" t="s">
        <v>67</v>
      </c>
      <c r="F37" s="12" t="s">
        <v>63</v>
      </c>
      <c r="G37" s="12" t="s">
        <v>68</v>
      </c>
      <c r="H37" s="13" t="n">
        <f aca="false">IF(J37&gt;0,J37,0)</f>
        <v>0</v>
      </c>
      <c r="I37" s="13" t="n">
        <f aca="false">IF(J37&lt;0,-J37,0)</f>
        <v>2139.83</v>
      </c>
      <c r="J37" s="14" t="n">
        <v>-2139.83</v>
      </c>
      <c r="K37" s="13" t="n">
        <f aca="false">K36+J37</f>
        <v>129.950000000001</v>
      </c>
      <c r="L37" s="14" t="n">
        <v>129.95</v>
      </c>
      <c r="M37" s="13" t="n">
        <f aca="false">ROUND(K37-L37,2)</f>
        <v>0</v>
      </c>
      <c r="N37" s="12" t="s">
        <v>74</v>
      </c>
    </row>
    <row r="38" customFormat="false" ht="15" hidden="false" customHeight="true" outlineLevel="0" collapsed="false">
      <c r="G38" s="10" t="s">
        <v>26</v>
      </c>
      <c r="H38" s="15" t="n">
        <f aca="false">SUM(H2:H37)</f>
        <v>24332</v>
      </c>
      <c r="I38" s="15" t="n">
        <f aca="false">SUM(I2:I37)</f>
        <v>24202.05</v>
      </c>
      <c r="J38" s="15" t="n">
        <f aca="false">SUM(J2:J37)</f>
        <v>129.950000000001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3"/>
    <col collapsed="false" customWidth="true" hidden="false" outlineLevel="0" max="9" min="9" style="1" width="8"/>
    <col collapsed="false" customWidth="true" hidden="false" outlineLevel="0" max="10" min="10" style="1" width="70"/>
  </cols>
  <sheetData>
    <row r="1" customFormat="false" ht="17.25" hidden="false" customHeight="true" outlineLevel="0" collapsed="false">
      <c r="A1" s="2" t="s">
        <v>90</v>
      </c>
    </row>
    <row r="2" customFormat="false" ht="15" hidden="false" customHeight="true" outlineLevel="0" collapsed="false">
      <c r="A2" s="3" t="s">
        <v>91</v>
      </c>
    </row>
    <row r="4" customFormat="false" ht="15" hidden="false" customHeight="true" outlineLevel="0" collapsed="false">
      <c r="A4" s="16" t="s">
        <v>33</v>
      </c>
      <c r="B4" s="16" t="s">
        <v>14</v>
      </c>
      <c r="C4" s="16" t="s">
        <v>16</v>
      </c>
      <c r="D4" s="16" t="s">
        <v>18</v>
      </c>
      <c r="E4" s="16" t="s">
        <v>20</v>
      </c>
      <c r="F4" s="16" t="s">
        <v>23</v>
      </c>
      <c r="G4" s="16" t="s">
        <v>24</v>
      </c>
      <c r="H4" s="16" t="s">
        <v>92</v>
      </c>
      <c r="I4" s="16" t="s">
        <v>93</v>
      </c>
      <c r="J4" s="16" t="s">
        <v>94</v>
      </c>
    </row>
    <row r="5" customFormat="false" ht="15" hidden="false" customHeight="true" outlineLevel="0" collapsed="false">
      <c r="A5" s="5" t="s">
        <v>79</v>
      </c>
      <c r="B5" s="17" t="n">
        <f aca="false">SUMIFS('Monzo Transactions'!$J:$J,'Monzo Transactions'!$G:$G,$A5,'Monzo Transactions'!$B:$B,B$4)</f>
        <v>0</v>
      </c>
      <c r="C5" s="17" t="n">
        <f aca="false">SUMIFS('Monzo Transactions'!$J:$J,'Monzo Transactions'!$G:$G,$A5,'Monzo Transactions'!$B:$B,C$4)</f>
        <v>0</v>
      </c>
      <c r="D5" s="17" t="n">
        <f aca="false">SUMIFS('Monzo Transactions'!$J:$J,'Monzo Transactions'!$G:$G,$A5,'Monzo Transactions'!$B:$B,D$4)</f>
        <v>0</v>
      </c>
      <c r="E5" s="17" t="n">
        <f aca="false">SUMIFS('Monzo Transactions'!$J:$J,'Monzo Transactions'!$G:$G,$A5,'Monzo Transactions'!$B:$B,E$4)</f>
        <v>2100</v>
      </c>
      <c r="F5" s="17" t="n">
        <f aca="false">SUMIFS('Monzo Transactions'!$J:$J,'Monzo Transactions'!$G:$G,$A5,'Monzo Transactions'!$B:$B,F$4)</f>
        <v>1900</v>
      </c>
      <c r="G5" s="17" t="n">
        <f aca="false">SUMIFS('Monzo Transactions'!$J:$J,'Monzo Transactions'!$G:$G,$A5,'Monzo Transactions'!$B:$B,G$4)</f>
        <v>0</v>
      </c>
      <c r="H5" s="18" t="n">
        <f aca="false">SUM(B5:G5)</f>
        <v>4000</v>
      </c>
      <c r="I5" s="5" t="n">
        <f aca="false">COUNTIFS('Monzo Transactions'!$G:$G,$A5)</f>
        <v>6</v>
      </c>
      <c r="J5" s="19"/>
    </row>
    <row r="6" customFormat="false" ht="15" hidden="false" customHeight="true" outlineLevel="0" collapsed="false">
      <c r="A6" s="5" t="s">
        <v>60</v>
      </c>
      <c r="B6" s="17" t="n">
        <f aca="false">SUMIFS('Monzo Transactions'!$J:$J,'Monzo Transactions'!$G:$G,$A6,'Monzo Transactions'!$B:$B,B$4)</f>
        <v>0</v>
      </c>
      <c r="C6" s="17" t="n">
        <f aca="false">SUMIFS('Monzo Transactions'!$J:$J,'Monzo Transactions'!$G:$G,$A6,'Monzo Transactions'!$B:$B,C$4)</f>
        <v>-1000</v>
      </c>
      <c r="D6" s="17" t="n">
        <f aca="false">SUMIFS('Monzo Transactions'!$J:$J,'Monzo Transactions'!$G:$G,$A6,'Monzo Transactions'!$B:$B,D$4)</f>
        <v>0</v>
      </c>
      <c r="E6" s="17" t="n">
        <f aca="false">SUMIFS('Monzo Transactions'!$J:$J,'Monzo Transactions'!$G:$G,$A6,'Monzo Transactions'!$B:$B,E$4)</f>
        <v>2000</v>
      </c>
      <c r="F6" s="17" t="n">
        <f aca="false">SUMIFS('Monzo Transactions'!$J:$J,'Monzo Transactions'!$G:$G,$A6,'Monzo Transactions'!$B:$B,F$4)</f>
        <v>200</v>
      </c>
      <c r="G6" s="17" t="n">
        <f aca="false">SUMIFS('Monzo Transactions'!$J:$J,'Monzo Transactions'!$G:$G,$A6,'Monzo Transactions'!$B:$B,G$4)</f>
        <v>1400</v>
      </c>
      <c r="H6" s="18" t="n">
        <f aca="false">SUM(B6:G6)</f>
        <v>2600</v>
      </c>
      <c r="I6" s="5" t="n">
        <f aca="false">COUNTIFS('Monzo Transactions'!$G:$G,$A6)</f>
        <v>4</v>
      </c>
      <c r="J6" s="19" t="s">
        <v>95</v>
      </c>
    </row>
    <row r="7" customFormat="false" ht="15" hidden="false" customHeight="true" outlineLevel="0" collapsed="false">
      <c r="A7" s="5" t="s">
        <v>42</v>
      </c>
      <c r="B7" s="17" t="n">
        <f aca="false">SUMIFS('Monzo Transactions'!$J:$J,'Monzo Transactions'!$G:$G,$A7,'Monzo Transactions'!$B:$B,B$4)</f>
        <v>6400</v>
      </c>
      <c r="C7" s="17" t="n">
        <f aca="false">SUMIFS('Monzo Transactions'!$J:$J,'Monzo Transactions'!$G:$G,$A7,'Monzo Transactions'!$B:$B,C$4)</f>
        <v>0</v>
      </c>
      <c r="D7" s="17" t="n">
        <f aca="false">SUMIFS('Monzo Transactions'!$J:$J,'Monzo Transactions'!$G:$G,$A7,'Monzo Transactions'!$B:$B,D$4)</f>
        <v>0</v>
      </c>
      <c r="E7" s="17" t="n">
        <f aca="false">SUMIFS('Monzo Transactions'!$J:$J,'Monzo Transactions'!$G:$G,$A7,'Monzo Transactions'!$B:$B,E$4)</f>
        <v>0</v>
      </c>
      <c r="F7" s="17" t="n">
        <f aca="false">SUMIFS('Monzo Transactions'!$J:$J,'Monzo Transactions'!$G:$G,$A7,'Monzo Transactions'!$B:$B,F$4)</f>
        <v>0</v>
      </c>
      <c r="G7" s="17" t="n">
        <f aca="false">SUMIFS('Monzo Transactions'!$J:$J,'Monzo Transactions'!$G:$G,$A7,'Monzo Transactions'!$B:$B,G$4)</f>
        <v>1000</v>
      </c>
      <c r="H7" s="18" t="n">
        <f aca="false">SUM(B7:G7)</f>
        <v>7400</v>
      </c>
      <c r="I7" s="5" t="n">
        <f aca="false">COUNTIFS('Monzo Transactions'!$G:$G,$A7)</f>
        <v>3</v>
      </c>
      <c r="J7" s="19" t="s">
        <v>96</v>
      </c>
    </row>
    <row r="8" customFormat="false" ht="15" hidden="false" customHeight="true" outlineLevel="0" collapsed="false">
      <c r="A8" s="5" t="s">
        <v>47</v>
      </c>
      <c r="B8" s="17" t="n">
        <f aca="false">SUMIFS('Monzo Transactions'!$J:$J,'Monzo Transactions'!$G:$G,$A8,'Monzo Transactions'!$B:$B,B$4)</f>
        <v>1282</v>
      </c>
      <c r="C8" s="17" t="n">
        <f aca="false">SUMIFS('Monzo Transactions'!$J:$J,'Monzo Transactions'!$G:$G,$A8,'Monzo Transactions'!$B:$B,C$4)</f>
        <v>5550</v>
      </c>
      <c r="D8" s="17" t="n">
        <f aca="false">SUMIFS('Monzo Transactions'!$J:$J,'Monzo Transactions'!$G:$G,$A8,'Monzo Transactions'!$B:$B,D$4)</f>
        <v>0</v>
      </c>
      <c r="E8" s="17" t="n">
        <f aca="false">SUMIFS('Monzo Transactions'!$J:$J,'Monzo Transactions'!$G:$G,$A8,'Monzo Transactions'!$B:$B,E$4)</f>
        <v>0</v>
      </c>
      <c r="F8" s="17" t="n">
        <f aca="false">SUMIFS('Monzo Transactions'!$J:$J,'Monzo Transactions'!$G:$G,$A8,'Monzo Transactions'!$B:$B,F$4)</f>
        <v>300</v>
      </c>
      <c r="G8" s="17" t="n">
        <f aca="false">SUMIFS('Monzo Transactions'!$J:$J,'Monzo Transactions'!$G:$G,$A8,'Monzo Transactions'!$B:$B,G$4)</f>
        <v>0</v>
      </c>
      <c r="H8" s="18" t="n">
        <f aca="false">SUM(B8:G8)</f>
        <v>7132</v>
      </c>
      <c r="I8" s="5" t="n">
        <f aca="false">COUNTIFS('Monzo Transactions'!$G:$G,$A8)</f>
        <v>6</v>
      </c>
      <c r="J8" s="19" t="s">
        <v>97</v>
      </c>
    </row>
    <row r="9" customFormat="false" ht="15" hidden="false" customHeight="true" outlineLevel="0" collapsed="false">
      <c r="A9" s="5" t="s">
        <v>73</v>
      </c>
      <c r="B9" s="17" t="n">
        <f aca="false">SUMIFS('Monzo Transactions'!$J:$J,'Monzo Transactions'!$G:$G,$A9,'Monzo Transactions'!$B:$B,B$4)</f>
        <v>0</v>
      </c>
      <c r="C9" s="17" t="n">
        <f aca="false">SUMIFS('Monzo Transactions'!$J:$J,'Monzo Transactions'!$G:$G,$A9,'Monzo Transactions'!$B:$B,C$4)</f>
        <v>0</v>
      </c>
      <c r="D9" s="17" t="n">
        <f aca="false">SUMIFS('Monzo Transactions'!$J:$J,'Monzo Transactions'!$G:$G,$A9,'Monzo Transactions'!$B:$B,D$4)</f>
        <v>1000</v>
      </c>
      <c r="E9" s="17" t="n">
        <f aca="false">SUMIFS('Monzo Transactions'!$J:$J,'Monzo Transactions'!$G:$G,$A9,'Monzo Transactions'!$B:$B,E$4)</f>
        <v>1200</v>
      </c>
      <c r="F9" s="17" t="n">
        <f aca="false">SUMIFS('Monzo Transactions'!$J:$J,'Monzo Transactions'!$G:$G,$A9,'Monzo Transactions'!$B:$B,F$4)</f>
        <v>0</v>
      </c>
      <c r="G9" s="17" t="n">
        <f aca="false">SUMIFS('Monzo Transactions'!$J:$J,'Monzo Transactions'!$G:$G,$A9,'Monzo Transactions'!$B:$B,G$4)</f>
        <v>0</v>
      </c>
      <c r="H9" s="18" t="n">
        <f aca="false">SUM(B9:G9)</f>
        <v>2200</v>
      </c>
      <c r="I9" s="5" t="n">
        <f aca="false">COUNTIFS('Monzo Transactions'!$G:$G,$A9)</f>
        <v>3</v>
      </c>
      <c r="J9" s="19" t="s">
        <v>98</v>
      </c>
    </row>
    <row r="10" customFormat="false" ht="15" hidden="false" customHeight="true" outlineLevel="0" collapsed="false">
      <c r="A10" s="5" t="s">
        <v>51</v>
      </c>
      <c r="B10" s="17" t="n">
        <f aca="false">SUMIFS('Monzo Transactions'!$J:$J,'Monzo Transactions'!$G:$G,$A10,'Monzo Transactions'!$B:$B,B$4)</f>
        <v>-3000</v>
      </c>
      <c r="C10" s="17" t="n">
        <f aca="false">SUMIFS('Monzo Transactions'!$J:$J,'Monzo Transactions'!$G:$G,$A10,'Monzo Transactions'!$B:$B,C$4)</f>
        <v>-1500</v>
      </c>
      <c r="D10" s="17" t="n">
        <f aca="false">SUMIFS('Monzo Transactions'!$J:$J,'Monzo Transactions'!$G:$G,$A10,'Monzo Transactions'!$B:$B,D$4)</f>
        <v>0</v>
      </c>
      <c r="E10" s="17" t="n">
        <f aca="false">SUMIFS('Monzo Transactions'!$J:$J,'Monzo Transactions'!$G:$G,$A10,'Monzo Transactions'!$B:$B,E$4)</f>
        <v>0</v>
      </c>
      <c r="F10" s="17" t="n">
        <f aca="false">SUMIFS('Monzo Transactions'!$J:$J,'Monzo Transactions'!$G:$G,$A10,'Monzo Transactions'!$B:$B,F$4)</f>
        <v>0</v>
      </c>
      <c r="G10" s="17" t="n">
        <f aca="false">SUMIFS('Monzo Transactions'!$J:$J,'Monzo Transactions'!$G:$G,$A10,'Monzo Transactions'!$B:$B,G$4)</f>
        <v>0</v>
      </c>
      <c r="H10" s="18" t="n">
        <f aca="false">SUM(B10:G10)</f>
        <v>-4500</v>
      </c>
      <c r="I10" s="5" t="n">
        <f aca="false">COUNTIFS('Monzo Transactions'!$G:$G,$A10)</f>
        <v>2</v>
      </c>
      <c r="J10" s="19"/>
    </row>
    <row r="11" customFormat="false" ht="15" hidden="false" customHeight="true" outlineLevel="0" collapsed="false">
      <c r="A11" s="5" t="s">
        <v>70</v>
      </c>
      <c r="B11" s="17" t="n">
        <f aca="false">SUMIFS('Monzo Transactions'!$J:$J,'Monzo Transactions'!$G:$G,$A11,'Monzo Transactions'!$B:$B,B$4)</f>
        <v>0</v>
      </c>
      <c r="C11" s="17" t="n">
        <f aca="false">SUMIFS('Monzo Transactions'!$J:$J,'Monzo Transactions'!$G:$G,$A11,'Monzo Transactions'!$B:$B,C$4)</f>
        <v>-1160.58</v>
      </c>
      <c r="D11" s="17" t="n">
        <f aca="false">SUMIFS('Monzo Transactions'!$J:$J,'Monzo Transactions'!$G:$G,$A11,'Monzo Transactions'!$B:$B,D$4)</f>
        <v>-1160.58</v>
      </c>
      <c r="E11" s="17" t="n">
        <f aca="false">SUMIFS('Monzo Transactions'!$J:$J,'Monzo Transactions'!$G:$G,$A11,'Monzo Transactions'!$B:$B,E$4)</f>
        <v>-1160.58</v>
      </c>
      <c r="F11" s="17" t="n">
        <f aca="false">SUMIFS('Monzo Transactions'!$J:$J,'Monzo Transactions'!$G:$G,$A11,'Monzo Transactions'!$B:$B,F$4)</f>
        <v>-1160.58</v>
      </c>
      <c r="G11" s="17" t="n">
        <f aca="false">SUMIFS('Monzo Transactions'!$J:$J,'Monzo Transactions'!$G:$G,$A11,'Monzo Transactions'!$B:$B,G$4)</f>
        <v>-1160.58</v>
      </c>
      <c r="H11" s="18" t="n">
        <f aca="false">SUM(B11:G11)</f>
        <v>-5802.9</v>
      </c>
      <c r="I11" s="5" t="n">
        <f aca="false">COUNTIFS('Monzo Transactions'!$G:$G,$A11)</f>
        <v>5</v>
      </c>
      <c r="J11" s="19"/>
    </row>
    <row r="12" customFormat="false" ht="15" hidden="false" customHeight="true" outlineLevel="0" collapsed="false">
      <c r="A12" s="5" t="s">
        <v>68</v>
      </c>
      <c r="B12" s="17" t="n">
        <f aca="false">SUMIFS('Monzo Transactions'!$J:$J,'Monzo Transactions'!$G:$G,$A12,'Monzo Transactions'!$B:$B,B$4)</f>
        <v>0</v>
      </c>
      <c r="C12" s="17" t="n">
        <f aca="false">SUMIFS('Monzo Transactions'!$J:$J,'Monzo Transactions'!$G:$G,$A12,'Monzo Transactions'!$B:$B,C$4)</f>
        <v>-2139.83</v>
      </c>
      <c r="D12" s="17" t="n">
        <f aca="false">SUMIFS('Monzo Transactions'!$J:$J,'Monzo Transactions'!$G:$G,$A12,'Monzo Transactions'!$B:$B,D$4)</f>
        <v>-2139.83</v>
      </c>
      <c r="E12" s="17" t="n">
        <f aca="false">SUMIFS('Monzo Transactions'!$J:$J,'Monzo Transactions'!$G:$G,$A12,'Monzo Transactions'!$B:$B,E$4)</f>
        <v>-2139.83</v>
      </c>
      <c r="F12" s="17" t="n">
        <f aca="false">SUMIFS('Monzo Transactions'!$J:$J,'Monzo Transactions'!$G:$G,$A12,'Monzo Transactions'!$B:$B,F$4)</f>
        <v>-2139.83</v>
      </c>
      <c r="G12" s="17" t="n">
        <f aca="false">SUMIFS('Monzo Transactions'!$J:$J,'Monzo Transactions'!$G:$G,$A12,'Monzo Transactions'!$B:$B,G$4)</f>
        <v>-2139.83</v>
      </c>
      <c r="H12" s="18" t="n">
        <f aca="false">SUM(B12:G12)</f>
        <v>-10699.15</v>
      </c>
      <c r="I12" s="5" t="n">
        <f aca="false">COUNTIFS('Monzo Transactions'!$G:$G,$A12)</f>
        <v>5</v>
      </c>
      <c r="J12" s="19"/>
    </row>
    <row r="13" customFormat="false" ht="15" hidden="false" customHeight="true" outlineLevel="0" collapsed="false">
      <c r="A13" s="5" t="s">
        <v>64</v>
      </c>
      <c r="B13" s="17" t="n">
        <f aca="false">SUMIFS('Monzo Transactions'!$J:$J,'Monzo Transactions'!$G:$G,$A13,'Monzo Transactions'!$B:$B,B$4)</f>
        <v>0</v>
      </c>
      <c r="C13" s="17" t="n">
        <f aca="false">SUMIFS('Monzo Transactions'!$J:$J,'Monzo Transactions'!$G:$G,$A13,'Monzo Transactions'!$B:$B,C$4)</f>
        <v>-2000</v>
      </c>
      <c r="D13" s="17" t="n">
        <f aca="false">SUMIFS('Monzo Transactions'!$J:$J,'Monzo Transactions'!$G:$G,$A13,'Monzo Transactions'!$B:$B,D$4)</f>
        <v>0</v>
      </c>
      <c r="E13" s="17" t="n">
        <f aca="false">SUMIFS('Monzo Transactions'!$J:$J,'Monzo Transactions'!$G:$G,$A13,'Monzo Transactions'!$B:$B,E$4)</f>
        <v>-200</v>
      </c>
      <c r="F13" s="17" t="n">
        <f aca="false">SUMIFS('Monzo Transactions'!$J:$J,'Monzo Transactions'!$G:$G,$A13,'Monzo Transactions'!$B:$B,F$4)</f>
        <v>0</v>
      </c>
      <c r="G13" s="17" t="n">
        <f aca="false">SUMIFS('Monzo Transactions'!$J:$J,'Monzo Transactions'!$G:$G,$A13,'Monzo Transactions'!$B:$B,G$4)</f>
        <v>0</v>
      </c>
      <c r="H13" s="18" t="n">
        <f aca="false">SUM(B13:G13)</f>
        <v>-2200</v>
      </c>
      <c r="I13" s="5" t="n">
        <f aca="false">COUNTIFS('Monzo Transactions'!$G:$G,$A13)</f>
        <v>2</v>
      </c>
      <c r="J13" s="19" t="s">
        <v>99</v>
      </c>
    </row>
    <row r="14" customFormat="false" ht="15" hidden="false" customHeight="true" outlineLevel="0" collapsed="false">
      <c r="A14" s="9" t="s">
        <v>100</v>
      </c>
      <c r="B14" s="9" t="n">
        <f aca="false">SUM(B5:B13)</f>
        <v>4682</v>
      </c>
      <c r="C14" s="9" t="n">
        <f aca="false">SUM(C5:C13)</f>
        <v>-2250.41</v>
      </c>
      <c r="D14" s="9" t="n">
        <f aca="false">SUM(D5:D13)</f>
        <v>-2300.41</v>
      </c>
      <c r="E14" s="9" t="n">
        <f aca="false">SUM(E5:E13)</f>
        <v>1799.59</v>
      </c>
      <c r="F14" s="9" t="n">
        <f aca="false">SUM(F5:F13)</f>
        <v>-900.41</v>
      </c>
      <c r="G14" s="9" t="n">
        <f aca="false">SUM(G5:G13)</f>
        <v>-900.41</v>
      </c>
      <c r="H14" s="9" t="n">
        <f aca="false">SUM(H5:H13)</f>
        <v>129.950000000001</v>
      </c>
      <c r="I14" s="20" t="n">
        <f aca="false">SUM(I5:I13)</f>
        <v>36</v>
      </c>
      <c r="J14" s="9"/>
    </row>
    <row r="15" customFormat="false" ht="15" hidden="false" customHeight="true" outlineLevel="0" collapsed="false">
      <c r="A15" s="3" t="s">
        <v>101</v>
      </c>
      <c r="B15" s="21" t="n">
        <f aca="false">ROUND(B14-('Monzo Reconciliation'!C5-'Monzo Reconciliation'!D5),2)</f>
        <v>0</v>
      </c>
      <c r="C15" s="21" t="n">
        <f aca="false">ROUND(C14-('Monzo Reconciliation'!C6-'Monzo Reconciliation'!D6),2)</f>
        <v>0</v>
      </c>
      <c r="D15" s="21" t="n">
        <f aca="false">ROUND(D14-('Monzo Reconciliation'!C7-'Monzo Reconciliation'!D7),2)</f>
        <v>0</v>
      </c>
      <c r="E15" s="21" t="n">
        <f aca="false">ROUND(E14-('Monzo Reconciliation'!C8-'Monzo Reconciliation'!D8),2)</f>
        <v>0</v>
      </c>
      <c r="F15" s="21" t="n">
        <f aca="false">ROUND(F14-('Monzo Reconciliation'!C9-'Monzo Reconciliation'!D9),2)</f>
        <v>0</v>
      </c>
      <c r="G15" s="21" t="n">
        <f aca="false">ROUND(G14-('Monzo Reconciliation'!C10-'Monzo Reconciliation'!D10),2)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2026-10-14T13:12:09Z</dcterms:created>
  <dc:creator>openpyxl</dc:creator>
  <dc:description/>
  <dc:language>en-US</dc:language>
  <cp:lastModifiedBy/>
  <dcterms:modified xsi:type="dcterms:W3CDTF">2026-10-14T14:29:47Z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