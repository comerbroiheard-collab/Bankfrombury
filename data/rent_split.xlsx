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nsactions" sheetId="2" state="visible" r:id="rId4"/>
  </sheets>
  <definedNames>
    <definedName function="false" hidden="true" localSheetId="1" name="_xlnm._FilterDatabase" vbProcedure="false">Transactions!$A$1:$F$100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<sst xmlns="http://schemas.openxmlformats.org/spreadsheetml/2006/main" count="447" uniqueCount="173">
  <si>
    <t xml:space="preserve">Rent Split – Total per Property</t>
  </si>
  <si>
    <t xml:space="preserve">Totals are SUMIFS formulas over the Transactions sheet; change a row's Property there to move it.</t>
  </si>
  <si>
    <t xml:space="preserve">Property / Rent</t>
  </si>
  <si>
    <t xml:space="preserve">Payee</t>
  </si>
  <si>
    <t xml:space="preserve">Payments</t>
  </si>
  <si>
    <t xml:space="preserve">Standing Orders (£)</t>
  </si>
  <si>
    <t xml:space="preserve">Transfers / Card (£)</t>
  </si>
  <si>
    <t xml:space="preserve">Total (£)</t>
  </si>
  <si>
    <t xml:space="preserve">Notes</t>
  </si>
  <si>
    <t xml:space="preserve">FGN356</t>
  </si>
  <si>
    <t xml:space="preserve">JLA</t>
  </si>
  <si>
    <t xml:space="preserve">GBN234</t>
  </si>
  <si>
    <t xml:space="preserve">House Mate Hunter</t>
  </si>
  <si>
    <t xml:space="preserve">Includes one-off transfer of £2,494</t>
  </si>
  <si>
    <t xml:space="preserve">GBN139</t>
  </si>
  <si>
    <t xml:space="preserve">Housematehunter</t>
  </si>
  <si>
    <t xml:space="preserve">74 Eastleigh Rent</t>
  </si>
  <si>
    <t xml:space="preserve">Victoria Frimpong</t>
  </si>
  <si>
    <t xml:space="preserve">Cheriton Rent</t>
  </si>
  <si>
    <t xml:space="preserve">GBN227</t>
  </si>
  <si>
    <t xml:space="preserve">Houston Rent</t>
  </si>
  <si>
    <t xml:space="preserve">Frimp Estates Ltd</t>
  </si>
  <si>
    <t xml:space="preserve">OLR240164 / 76 Eastleigh</t>
  </si>
  <si>
    <t xml:space="preserve">Oliver Rayns Ltd</t>
  </si>
  <si>
    <t xml:space="preserve">Assumed same property: 76 Eastleigh £1,850 + OLR240164 £6,400 if separate</t>
  </si>
  <si>
    <t xml:space="preserve">F9 Rent</t>
  </si>
  <si>
    <t xml:space="preserve">Desmond Frimpong</t>
  </si>
  <si>
    <t xml:space="preserve">£600/month rising to £700 from Jan 2026</t>
  </si>
  <si>
    <t xml:space="preserve">O18R-ARCH</t>
  </si>
  <si>
    <t xml:space="preserve">Hall &amp; Home Lettings</t>
  </si>
  <si>
    <t xml:space="preserve">18 Oxford Rent</t>
  </si>
  <si>
    <t xml:space="preserve">Yogendra Navalshan</t>
  </si>
  <si>
    <t xml:space="preserve">Rent subtotal</t>
  </si>
  <si>
    <t xml:space="preserve">Other payments (not rent)</t>
  </si>
  <si>
    <t xml:space="preserve">Goodlord (property not named)</t>
  </si>
  <si>
    <t xml:space="preserve">Goodlord / Oh Goodlord Ltd</t>
  </si>
  <si>
    <t xml:space="preserve">No property in reference – likely deposit/move-in costs; reassign on Transactions sheet</t>
  </si>
  <si>
    <t xml:space="preserve">IW Group Services UK (not rent)</t>
  </si>
  <si>
    <t xml:space="preserve">IW Group Services UK</t>
  </si>
  <si>
    <t xml:space="preserve">Not rent – excluded from rent subtotal</t>
  </si>
  <si>
    <t xml:space="preserve">Grand total</t>
  </si>
  <si>
    <t xml:space="preserve">Check vs Transactions total</t>
  </si>
  <si>
    <t xml:space="preserve">Date</t>
  </si>
  <si>
    <t xml:space="preserve">Reference</t>
  </si>
  <si>
    <t xml:space="preserve">Details</t>
  </si>
  <si>
    <t xml:space="preserve">Expense (£)</t>
  </si>
  <si>
    <t xml:space="preserve">Type</t>
  </si>
  <si>
    <t xml:space="preserve">PAY 003101</t>
  </si>
  <si>
    <t xml:space="preserve">Standing Order Yogendra Navalshan, 18 OXFORD RENT</t>
  </si>
  <si>
    <t xml:space="preserve">Standing Order</t>
  </si>
  <si>
    <t xml:space="preserve">PAY 003052</t>
  </si>
  <si>
    <t xml:space="preserve">Standing Order Victoria Frimpong, 74 EASTLEIGH RENT</t>
  </si>
  <si>
    <t xml:space="preserve">PAY 003056</t>
  </si>
  <si>
    <t xml:space="preserve">PAY 003063</t>
  </si>
  <si>
    <t xml:space="preserve">PAY 003066</t>
  </si>
  <si>
    <t xml:space="preserve">PAY 003070</t>
  </si>
  <si>
    <t xml:space="preserve">PAY 003078</t>
  </si>
  <si>
    <t xml:space="preserve">PAY 003082</t>
  </si>
  <si>
    <t xml:space="preserve">PAY 003090</t>
  </si>
  <si>
    <t xml:space="preserve">PAY 003097</t>
  </si>
  <si>
    <t xml:space="preserve">PAY 003109</t>
  </si>
  <si>
    <t xml:space="preserve">PAY 003118</t>
  </si>
  <si>
    <t xml:space="preserve">PAY 003128</t>
  </si>
  <si>
    <t xml:space="preserve">PAY 003053</t>
  </si>
  <si>
    <t xml:space="preserve">Standing Order Victoria Frimpong, CHERITON RENT</t>
  </si>
  <si>
    <t xml:space="preserve">PAY 003057</t>
  </si>
  <si>
    <t xml:space="preserve">PAY 003064</t>
  </si>
  <si>
    <t xml:space="preserve">PAY 003067</t>
  </si>
  <si>
    <t xml:space="preserve">PAY 003071</t>
  </si>
  <si>
    <t xml:space="preserve">PAY 003079</t>
  </si>
  <si>
    <t xml:space="preserve">PAY 003083</t>
  </si>
  <si>
    <t xml:space="preserve">PAY 003091</t>
  </si>
  <si>
    <t xml:space="preserve">PAY 003098</t>
  </si>
  <si>
    <t xml:space="preserve">PAY 003110</t>
  </si>
  <si>
    <t xml:space="preserve">PAY 003119</t>
  </si>
  <si>
    <t xml:space="preserve">PAY 003129</t>
  </si>
  <si>
    <t xml:space="preserve">PAY 003054</t>
  </si>
  <si>
    <t xml:space="preserve">Standing Order Desmond Frimpong, F9 RENT</t>
  </si>
  <si>
    <t xml:space="preserve">PAY 003058</t>
  </si>
  <si>
    <t xml:space="preserve">PAY 003061</t>
  </si>
  <si>
    <t xml:space="preserve">PAY 003068</t>
  </si>
  <si>
    <t xml:space="preserve">PAY 003072</t>
  </si>
  <si>
    <t xml:space="preserve">PAY 003080</t>
  </si>
  <si>
    <t xml:space="preserve">PAY 003084</t>
  </si>
  <si>
    <t xml:space="preserve">PAY 003088</t>
  </si>
  <si>
    <t xml:space="preserve">PAY 003099</t>
  </si>
  <si>
    <t xml:space="preserve">PAY 003106</t>
  </si>
  <si>
    <t xml:space="preserve">PAY 003115</t>
  </si>
  <si>
    <t xml:space="preserve">PAY 003124</t>
  </si>
  <si>
    <t xml:space="preserve">PAY 003135</t>
  </si>
  <si>
    <t xml:space="preserve">Transfer MOB, Jla, FGN356</t>
  </si>
  <si>
    <t xml:space="preserve">Transfer</t>
  </si>
  <si>
    <t xml:space="preserve">PAY 003136</t>
  </si>
  <si>
    <t xml:space="preserve">PAY 003137</t>
  </si>
  <si>
    <t xml:space="preserve">PAY 003138</t>
  </si>
  <si>
    <t xml:space="preserve">Transfer RIB, Jla, FGN356</t>
  </si>
  <si>
    <t xml:space="preserve">PAY 003139</t>
  </si>
  <si>
    <t xml:space="preserve">PAY 003140</t>
  </si>
  <si>
    <t xml:space="preserve">PAY 003141</t>
  </si>
  <si>
    <t xml:space="preserve">PAY 003142</t>
  </si>
  <si>
    <t xml:space="preserve">PAY 003100</t>
  </si>
  <si>
    <t xml:space="preserve">Standing Order Jla, FGN356</t>
  </si>
  <si>
    <t xml:space="preserve">PAY 003111</t>
  </si>
  <si>
    <t xml:space="preserve">PAY 003121</t>
  </si>
  <si>
    <t xml:space="preserve">PAY 003131</t>
  </si>
  <si>
    <t xml:space="preserve">PAY 003051</t>
  </si>
  <si>
    <t xml:space="preserve">Standing Order Housematehunter, GBN139</t>
  </si>
  <si>
    <t xml:space="preserve">PAY 003055</t>
  </si>
  <si>
    <t xml:space="preserve">PAY 003062</t>
  </si>
  <si>
    <t xml:space="preserve">PAY 003065</t>
  </si>
  <si>
    <t xml:space="preserve">PAY 003069</t>
  </si>
  <si>
    <t xml:space="preserve">PAY 003077</t>
  </si>
  <si>
    <t xml:space="preserve">PAY 003081</t>
  </si>
  <si>
    <t xml:space="preserve">PAY 003089</t>
  </si>
  <si>
    <t xml:space="preserve">PAY 003096</t>
  </si>
  <si>
    <t xml:space="preserve">PAY 003108</t>
  </si>
  <si>
    <t xml:space="preserve">PAY 003117</t>
  </si>
  <si>
    <t xml:space="preserve">PAY 003127</t>
  </si>
  <si>
    <t xml:space="preserve">PAY 003086</t>
  </si>
  <si>
    <t xml:space="preserve">Standing Order House Mate Hunter, GBN227</t>
  </si>
  <si>
    <t xml:space="preserve">PAY 003093</t>
  </si>
  <si>
    <t xml:space="preserve">PAY 003103</t>
  </si>
  <si>
    <t xml:space="preserve">PAY 003113</t>
  </si>
  <si>
    <t xml:space="preserve">PAY 003123</t>
  </si>
  <si>
    <t xml:space="preserve">PAY 003133</t>
  </si>
  <si>
    <t xml:space="preserve">PAY 003085</t>
  </si>
  <si>
    <t xml:space="preserve">Transfer MOB, Housemate Hunter, GBN234</t>
  </si>
  <si>
    <t xml:space="preserve">PAY 003087</t>
  </si>
  <si>
    <t xml:space="preserve">Standing Order House Mate Hunter, GBN234</t>
  </si>
  <si>
    <t xml:space="preserve">PAY 003095</t>
  </si>
  <si>
    <t xml:space="preserve">PAY 003104</t>
  </si>
  <si>
    <t xml:space="preserve">PAY 003114</t>
  </si>
  <si>
    <t xml:space="preserve">PAY 003126</t>
  </si>
  <si>
    <t xml:space="preserve">PAY 003134</t>
  </si>
  <si>
    <t xml:space="preserve">PAY 003073</t>
  </si>
  <si>
    <t xml:space="preserve">Card Card 43, Www.Goodlord.Co</t>
  </si>
  <si>
    <t xml:space="preserve">Card</t>
  </si>
  <si>
    <t xml:space="preserve">PAY 003074</t>
  </si>
  <si>
    <t xml:space="preserve">Transfer MOB, Oh Goodlord Ltd, 1vukhgg0</t>
  </si>
  <si>
    <t xml:space="preserve">PAY 003075</t>
  </si>
  <si>
    <t xml:space="preserve">PAY 003076</t>
  </si>
  <si>
    <t xml:space="preserve">Transfer MOB, Oh Goodlord Ltd, Cq6rjekr</t>
  </si>
  <si>
    <t xml:space="preserve">PAY 003059</t>
  </si>
  <si>
    <t xml:space="preserve">Transfer MOB, Frimp Estates Ltd, Houston rent</t>
  </si>
  <si>
    <t xml:space="preserve">PAY 003060</t>
  </si>
  <si>
    <t xml:space="preserve">PAY 003105</t>
  </si>
  <si>
    <t xml:space="preserve">PAY 003107</t>
  </si>
  <si>
    <t xml:space="preserve">Standing Order Frimp Estates Ltd, HOUSTON RENT</t>
  </si>
  <si>
    <t xml:space="preserve">PAY 003116</t>
  </si>
  <si>
    <t xml:space="preserve">PAY 003125</t>
  </si>
  <si>
    <t xml:space="preserve">PAY 004681</t>
  </si>
  <si>
    <t xml:space="preserve">IW GROUP SERVICES UK</t>
  </si>
  <si>
    <t xml:space="preserve">Other</t>
  </si>
  <si>
    <t xml:space="preserve">PAY 004682</t>
  </si>
  <si>
    <t xml:space="preserve">PAY 004683</t>
  </si>
  <si>
    <t xml:space="preserve">PAY 004684</t>
  </si>
  <si>
    <t xml:space="preserve">PAY 004685</t>
  </si>
  <si>
    <t xml:space="preserve">PAY 003143</t>
  </si>
  <si>
    <t xml:space="preserve">Transfer RIB, Hall Home Lettin, O18R-ARCH</t>
  </si>
  <si>
    <t xml:space="preserve">PAY 003144</t>
  </si>
  <si>
    <t xml:space="preserve">PAY 003120</t>
  </si>
  <si>
    <t xml:space="preserve">Standing Order Hall &amp; Home Lettin, O18R-ARCH</t>
  </si>
  <si>
    <t xml:space="preserve">PAY 003130</t>
  </si>
  <si>
    <t xml:space="preserve">PAY 003092</t>
  </si>
  <si>
    <t xml:space="preserve">Transfer MOB, Oliver Rayns Ltd, 76 Eastleigh</t>
  </si>
  <si>
    <t xml:space="preserve">PAY 003094</t>
  </si>
  <si>
    <t xml:space="preserve">PAY 003102</t>
  </si>
  <si>
    <t xml:space="preserve">Transfer MOB, Oliver Rayns Ltd, OLR240164</t>
  </si>
  <si>
    <t xml:space="preserve">PAY 003112</t>
  </si>
  <si>
    <t xml:space="preserve">Standing Order Oliver Rayns Limit, OLR240164</t>
  </si>
  <si>
    <t xml:space="preserve">PAY 003122</t>
  </si>
  <si>
    <t xml:space="preserve">PAY 003132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</si>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</sst>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£#,##0.00;&quot;(£&quot;#,##0.00\);\-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f aca="false">COUNTIFS(Transactions!$E:$E,$A5)</f>
        <v>12</v>
      </c>
      <c r="D5" s="6" t="n">
        <f aca="false">SUMIFS(Transactions!$D:$D,Transactions!$E:$E,$A5,Transactions!$F:$F,"Standing Order")</f>
        <v>8400</v>
      </c>
      <c r="E5" s="6" t="n">
        <f aca="false">F5-D5</f>
        <v>16100</v>
      </c>
      <c r="F5" s="6" t="n">
        <f aca="false">SUMIFS(Transactions!$D:$D,Transactions!$E:$E,$A5)</f>
        <v>24500</v>
      </c>
      <c r="G5" s="7"/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f aca="false">COUNTIFS(Transactions!$E:$E,$A6)</f>
        <v>7</v>
      </c>
      <c r="D6" s="6" t="n">
        <f aca="false">SUMIFS(Transactions!$D:$D,Transactions!$E:$E,$A6,Transactions!$F:$F,"Standing Order")</f>
        <v>15000</v>
      </c>
      <c r="E6" s="6" t="n">
        <f aca="false">F6-D6</f>
        <v>2494</v>
      </c>
      <c r="F6" s="6" t="n">
        <f aca="false">SUMIFS(Transactions!$D:$D,Transactions!$E:$E,$A6)</f>
        <v>17494</v>
      </c>
      <c r="G6" s="7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f aca="false">COUNTIFS(Transactions!$E:$E,$A7)</f>
        <v>12</v>
      </c>
      <c r="D7" s="6" t="n">
        <f aca="false">SUMIFS(Transactions!$D:$D,Transactions!$E:$E,$A7,Transactions!$F:$F,"Standing Order")</f>
        <v>14400</v>
      </c>
      <c r="E7" s="6" t="n">
        <f aca="false">F7-D7</f>
        <v>0</v>
      </c>
      <c r="F7" s="6" t="n">
        <f aca="false">SUMIFS(Transactions!$D:$D,Transactions!$E:$E,$A7)</f>
        <v>14400</v>
      </c>
      <c r="G7" s="7"/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f aca="false">COUNTIFS(Transactions!$E:$E,$A8)</f>
        <v>12</v>
      </c>
      <c r="D8" s="6" t="n">
        <f aca="false">SUMIFS(Transactions!$D:$D,Transactions!$E:$E,$A8,Transactions!$F:$F,"Standing Order")</f>
        <v>14400</v>
      </c>
      <c r="E8" s="6" t="n">
        <f aca="false">F8-D8</f>
        <v>0</v>
      </c>
      <c r="F8" s="6" t="n">
        <f aca="false">SUMIFS(Transactions!$D:$D,Transactions!$E:$E,$A8)</f>
        <v>14400</v>
      </c>
      <c r="G8" s="7"/>
    </row>
    <row r="9" customFormat="false" ht="15" hidden="false" customHeight="false" outlineLevel="0" collapsed="false">
      <c r="A9" s="4" t="s">
        <v>18</v>
      </c>
      <c r="B9" s="4" t="s">
        <v>17</v>
      </c>
      <c r="C9" s="5" t="n">
        <f aca="false">COUNTIFS(Transactions!$E:$E,$A9)</f>
        <v>12</v>
      </c>
      <c r="D9" s="6" t="n">
        <f aca="false">SUMIFS(Transactions!$D:$D,Transactions!$E:$E,$A9,Transactions!$F:$F,"Standing Order")</f>
        <v>13800</v>
      </c>
      <c r="E9" s="6" t="n">
        <f aca="false">F9-D9</f>
        <v>0</v>
      </c>
      <c r="F9" s="6" t="n">
        <f aca="false">SUMIFS(Transactions!$D:$D,Transactions!$E:$E,$A9)</f>
        <v>13800</v>
      </c>
      <c r="G9" s="7"/>
    </row>
    <row r="10" customFormat="false" ht="15" hidden="false" customHeight="false" outlineLevel="0" collapsed="false">
      <c r="A10" s="4" t="s">
        <v>19</v>
      </c>
      <c r="B10" s="4" t="s">
        <v>12</v>
      </c>
      <c r="C10" s="5" t="n">
        <f aca="false">COUNTIFS(Transactions!$E:$E,$A10)</f>
        <v>6</v>
      </c>
      <c r="D10" s="6" t="n">
        <f aca="false">SUMIFS(Transactions!$D:$D,Transactions!$E:$E,$A10,Transactions!$F:$F,"Standing Order")</f>
        <v>13200</v>
      </c>
      <c r="E10" s="6" t="n">
        <f aca="false">F10-D10</f>
        <v>0</v>
      </c>
      <c r="F10" s="6" t="n">
        <f aca="false">SUMIFS(Transactions!$D:$D,Transactions!$E:$E,$A10)</f>
        <v>13200</v>
      </c>
      <c r="G10" s="7"/>
    </row>
    <row r="11" customFormat="false" ht="15" hidden="false" customHeight="false" outlineLevel="0" collapsed="false">
      <c r="A11" s="4" t="s">
        <v>20</v>
      </c>
      <c r="B11" s="4" t="s">
        <v>21</v>
      </c>
      <c r="C11" s="5" t="n">
        <f aca="false">COUNTIFS(Transactions!$E:$E,$A11)</f>
        <v>6</v>
      </c>
      <c r="D11" s="6" t="n">
        <f aca="false">SUMIFS(Transactions!$D:$D,Transactions!$E:$E,$A11,Transactions!$F:$F,"Standing Order")</f>
        <v>2700</v>
      </c>
      <c r="E11" s="6" t="n">
        <f aca="false">F11-D11</f>
        <v>10440</v>
      </c>
      <c r="F11" s="6" t="n">
        <f aca="false">SUMIFS(Transactions!$D:$D,Transactions!$E:$E,$A11)</f>
        <v>13140</v>
      </c>
      <c r="G11" s="7"/>
    </row>
    <row r="12" customFormat="false" ht="26.85" hidden="false" customHeight="false" outlineLevel="0" collapsed="false">
      <c r="A12" s="4" t="s">
        <v>22</v>
      </c>
      <c r="B12" s="4" t="s">
        <v>23</v>
      </c>
      <c r="C12" s="5" t="n">
        <f aca="false">COUNTIFS(Transactions!$E:$E,$A12)</f>
        <v>6</v>
      </c>
      <c r="D12" s="6" t="n">
        <f aca="false">SUMIFS(Transactions!$D:$D,Transactions!$E:$E,$A12,Transactions!$F:$F,"Standing Order")</f>
        <v>4800</v>
      </c>
      <c r="E12" s="6" t="n">
        <f aca="false">F12-D12</f>
        <v>3450</v>
      </c>
      <c r="F12" s="6" t="n">
        <f aca="false">SUMIFS(Transactions!$D:$D,Transactions!$E:$E,$A12)</f>
        <v>8250</v>
      </c>
      <c r="G12" s="7" t="s">
        <v>24</v>
      </c>
    </row>
    <row r="13" customFormat="false" ht="15" hidden="false" customHeight="false" outlineLevel="0" collapsed="false">
      <c r="A13" s="4" t="s">
        <v>25</v>
      </c>
      <c r="B13" s="4" t="s">
        <v>26</v>
      </c>
      <c r="C13" s="5" t="n">
        <f aca="false">COUNTIFS(Transactions!$E:$E,$A13)</f>
        <v>12</v>
      </c>
      <c r="D13" s="6" t="n">
        <f aca="false">SUMIFS(Transactions!$D:$D,Transactions!$E:$E,$A13,Transactions!$F:$F,"Standing Order")</f>
        <v>7500</v>
      </c>
      <c r="E13" s="6" t="n">
        <f aca="false">F13-D13</f>
        <v>0</v>
      </c>
      <c r="F13" s="6" t="n">
        <f aca="false">SUMIFS(Transactions!$D:$D,Transactions!$E:$E,$A13)</f>
        <v>7500</v>
      </c>
      <c r="G13" s="7" t="s">
        <v>27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5" t="n">
        <f aca="false">COUNTIFS(Transactions!$E:$E,$A14)</f>
        <v>4</v>
      </c>
      <c r="D14" s="6" t="n">
        <f aca="false">SUMIFS(Transactions!$D:$D,Transactions!$E:$E,$A14,Transactions!$F:$F,"Standing Order")</f>
        <v>3600</v>
      </c>
      <c r="E14" s="6" t="n">
        <f aca="false">F14-D14</f>
        <v>1301.92</v>
      </c>
      <c r="F14" s="6" t="n">
        <f aca="false">SUMIFS(Transactions!$D:$D,Transactions!$E:$E,$A14)</f>
        <v>4901.92</v>
      </c>
      <c r="G14" s="7"/>
    </row>
    <row r="15" customFormat="false" ht="15" hidden="false" customHeight="false" outlineLevel="0" collapsed="false">
      <c r="A15" s="4" t="s">
        <v>30</v>
      </c>
      <c r="B15" s="4" t="s">
        <v>31</v>
      </c>
      <c r="C15" s="5" t="n">
        <f aca="false">COUNTIFS(Transactions!$E:$E,$A15)</f>
        <v>1</v>
      </c>
      <c r="D15" s="6" t="n">
        <f aca="false">SUMIFS(Transactions!$D:$D,Transactions!$E:$E,$A15,Transactions!$F:$F,"Standing Order")</f>
        <v>1800</v>
      </c>
      <c r="E15" s="6" t="n">
        <f aca="false">F15-D15</f>
        <v>0</v>
      </c>
      <c r="F15" s="6" t="n">
        <f aca="false">SUMIFS(Transactions!$D:$D,Transactions!$E:$E,$A15)</f>
        <v>1800</v>
      </c>
      <c r="G15" s="7"/>
    </row>
    <row r="16" customFormat="false" ht="15" hidden="false" customHeight="false" outlineLevel="0" collapsed="false">
      <c r="A16" s="8" t="s">
        <v>32</v>
      </c>
      <c r="B16" s="8"/>
      <c r="C16" s="8" t="n">
        <f aca="false">SUM(C5:C15)</f>
        <v>90</v>
      </c>
      <c r="D16" s="9" t="n">
        <f aca="false">SUM(D5:D15)</f>
        <v>99600</v>
      </c>
      <c r="E16" s="9" t="n">
        <f aca="false">SUM(E5:E15)</f>
        <v>33785.92</v>
      </c>
      <c r="F16" s="9" t="n">
        <f aca="false">SUM(F5:F15)</f>
        <v>133385.92</v>
      </c>
      <c r="G16" s="8"/>
    </row>
    <row r="17" customFormat="false" ht="15" hidden="false" customHeight="false" outlineLevel="0" collapsed="false">
      <c r="A17" s="10" t="s">
        <v>33</v>
      </c>
    </row>
    <row r="18" customFormat="false" ht="26.85" hidden="false" customHeight="false" outlineLevel="0" collapsed="false">
      <c r="A18" s="4" t="s">
        <v>34</v>
      </c>
      <c r="B18" s="4" t="s">
        <v>35</v>
      </c>
      <c r="C18" s="5" t="n">
        <f aca="false">COUNTIFS(Transactions!$E:$E,$A18)</f>
        <v>4</v>
      </c>
      <c r="D18" s="6" t="n">
        <f aca="false">SUMIFS(Transactions!$D:$D,Transactions!$E:$E,$A18,Transactions!$F:$F,"Standing Order")</f>
        <v>0</v>
      </c>
      <c r="E18" s="6" t="n">
        <f aca="false">F18-D18</f>
        <v>7712</v>
      </c>
      <c r="F18" s="6" t="n">
        <f aca="false">SUMIFS(Transactions!$D:$D,Transactions!$E:$E,$A18)</f>
        <v>7712</v>
      </c>
      <c r="G18" s="7" t="s">
        <v>36</v>
      </c>
    </row>
    <row r="19" customFormat="false" ht="15" hidden="false" customHeight="false" outlineLevel="0" collapsed="false">
      <c r="A19" s="4" t="s">
        <v>37</v>
      </c>
      <c r="B19" s="4" t="s">
        <v>38</v>
      </c>
      <c r="C19" s="5" t="n">
        <f aca="false">COUNTIFS(Transactions!$E:$E,$A19)</f>
        <v>5</v>
      </c>
      <c r="D19" s="6" t="n">
        <f aca="false">SUMIFS(Transactions!$D:$D,Transactions!$E:$E,$A19,Transactions!$F:$F,"Standing Order")</f>
        <v>0</v>
      </c>
      <c r="E19" s="6" t="n">
        <f aca="false">F19-D19</f>
        <v>1511.47</v>
      </c>
      <c r="F19" s="6" t="n">
        <f aca="false">SUMIFS(Transactions!$D:$D,Transactions!$E:$E,$A19)</f>
        <v>1511.47</v>
      </c>
      <c r="G19" s="7" t="s">
        <v>39</v>
      </c>
    </row>
    <row r="21" customFormat="false" ht="15" hidden="false" customHeight="false" outlineLevel="0" collapsed="false">
      <c r="A21" s="11" t="s">
        <v>40</v>
      </c>
      <c r="B21" s="11"/>
      <c r="C21" s="11" t="n">
        <f aca="false">C16+SUM(C18:C19)</f>
        <v>99</v>
      </c>
      <c r="D21" s="12" t="n">
        <f aca="false">D16+SUM(D18:D19)</f>
        <v>99600</v>
      </c>
      <c r="E21" s="12" t="n">
        <f aca="false">E16+SUM(E18:E19)</f>
        <v>43009.39</v>
      </c>
      <c r="F21" s="12" t="n">
        <f aca="false">F16+SUM(F18:F19)</f>
        <v>142609.39</v>
      </c>
      <c r="G21" s="11"/>
    </row>
    <row r="22" customFormat="false" ht="15" hidden="false" customHeight="false" outlineLevel="0" collapsed="false">
      <c r="A22" s="2" t="s">
        <v>41</v>
      </c>
      <c r="F22" s="13" t="n">
        <f aca="false">F21-Transactions!D101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2</v>
      </c>
      <c r="F1" s="11" t="s">
        <v>46</v>
      </c>
    </row>
    <row r="2" customFormat="false" ht="15" hidden="false" customHeight="false" outlineLevel="0" collapsed="false">
      <c r="A2" s="14" t="n">
        <v>46001</v>
      </c>
      <c r="B2" s="15" t="s">
        <v>47</v>
      </c>
      <c r="C2" s="15" t="s">
        <v>48</v>
      </c>
      <c r="D2" s="16" t="n">
        <v>1800</v>
      </c>
      <c r="E2" s="15" t="s">
        <v>30</v>
      </c>
      <c r="F2" s="15" t="s">
        <v>49</v>
      </c>
    </row>
    <row r="3" customFormat="false" ht="15" hidden="false" customHeight="false" outlineLevel="0" collapsed="false">
      <c r="A3" s="14" t="n">
        <v>45748</v>
      </c>
      <c r="B3" s="15" t="s">
        <v>50</v>
      </c>
      <c r="C3" s="15" t="s">
        <v>51</v>
      </c>
      <c r="D3" s="16" t="n">
        <v>1200</v>
      </c>
      <c r="E3" s="15" t="s">
        <v>16</v>
      </c>
      <c r="F3" s="15" t="s">
        <v>49</v>
      </c>
    </row>
    <row r="4" customFormat="false" ht="15" hidden="false" customHeight="false" outlineLevel="0" collapsed="false">
      <c r="A4" s="14" t="n">
        <v>45778</v>
      </c>
      <c r="B4" s="15" t="s">
        <v>52</v>
      </c>
      <c r="C4" s="15" t="s">
        <v>51</v>
      </c>
      <c r="D4" s="16" t="n">
        <v>1200</v>
      </c>
      <c r="E4" s="15" t="s">
        <v>16</v>
      </c>
      <c r="F4" s="15" t="s">
        <v>49</v>
      </c>
    </row>
    <row r="5" customFormat="false" ht="15" hidden="false" customHeight="false" outlineLevel="0" collapsed="false">
      <c r="A5" s="14" t="n">
        <v>45810</v>
      </c>
      <c r="B5" s="15" t="s">
        <v>53</v>
      </c>
      <c r="C5" s="15" t="s">
        <v>51</v>
      </c>
      <c r="D5" s="16" t="n">
        <v>1200</v>
      </c>
      <c r="E5" s="15" t="s">
        <v>16</v>
      </c>
      <c r="F5" s="15" t="s">
        <v>49</v>
      </c>
    </row>
    <row r="6" customFormat="false" ht="15" hidden="false" customHeight="false" outlineLevel="0" collapsed="false">
      <c r="A6" s="14" t="n">
        <v>45839</v>
      </c>
      <c r="B6" s="15" t="s">
        <v>54</v>
      </c>
      <c r="C6" s="15" t="s">
        <v>51</v>
      </c>
      <c r="D6" s="16" t="n">
        <v>1200</v>
      </c>
      <c r="E6" s="15" t="s">
        <v>16</v>
      </c>
      <c r="F6" s="15" t="s">
        <v>49</v>
      </c>
    </row>
    <row r="7" customFormat="false" ht="15" hidden="false" customHeight="false" outlineLevel="0" collapsed="false">
      <c r="A7" s="14" t="n">
        <v>45870</v>
      </c>
      <c r="B7" s="15" t="s">
        <v>55</v>
      </c>
      <c r="C7" s="15" t="s">
        <v>51</v>
      </c>
      <c r="D7" s="16" t="n">
        <v>1200</v>
      </c>
      <c r="E7" s="15" t="s">
        <v>16</v>
      </c>
      <c r="F7" s="15" t="s">
        <v>49</v>
      </c>
    </row>
    <row r="8" customFormat="false" ht="15" hidden="false" customHeight="false" outlineLevel="0" collapsed="false">
      <c r="A8" s="14" t="n">
        <v>45901</v>
      </c>
      <c r="B8" s="15" t="s">
        <v>56</v>
      </c>
      <c r="C8" s="15" t="s">
        <v>51</v>
      </c>
      <c r="D8" s="16" t="n">
        <v>1200</v>
      </c>
      <c r="E8" s="15" t="s">
        <v>16</v>
      </c>
      <c r="F8" s="15" t="s">
        <v>49</v>
      </c>
    </row>
    <row r="9" customFormat="false" ht="15" hidden="false" customHeight="false" outlineLevel="0" collapsed="false">
      <c r="A9" s="14" t="n">
        <v>45931</v>
      </c>
      <c r="B9" s="15" t="s">
        <v>57</v>
      </c>
      <c r="C9" s="15" t="s">
        <v>51</v>
      </c>
      <c r="D9" s="16" t="n">
        <v>1200</v>
      </c>
      <c r="E9" s="15" t="s">
        <v>16</v>
      </c>
      <c r="F9" s="15" t="s">
        <v>49</v>
      </c>
    </row>
    <row r="10" customFormat="false" ht="15" hidden="false" customHeight="false" outlineLevel="0" collapsed="false">
      <c r="A10" s="14" t="n">
        <v>45964</v>
      </c>
      <c r="B10" s="15" t="s">
        <v>58</v>
      </c>
      <c r="C10" s="15" t="s">
        <v>51</v>
      </c>
      <c r="D10" s="16" t="n">
        <v>1200</v>
      </c>
      <c r="E10" s="15" t="s">
        <v>16</v>
      </c>
      <c r="F10" s="15" t="s">
        <v>49</v>
      </c>
    </row>
    <row r="11" customFormat="false" ht="15" hidden="false" customHeight="false" outlineLevel="0" collapsed="false">
      <c r="A11" s="14" t="n">
        <v>45992</v>
      </c>
      <c r="B11" s="15" t="s">
        <v>59</v>
      </c>
      <c r="C11" s="15" t="s">
        <v>51</v>
      </c>
      <c r="D11" s="16" t="n">
        <v>1200</v>
      </c>
      <c r="E11" s="15" t="s">
        <v>16</v>
      </c>
      <c r="F11" s="15" t="s">
        <v>49</v>
      </c>
    </row>
    <row r="12" customFormat="false" ht="15" hidden="false" customHeight="false" outlineLevel="0" collapsed="false">
      <c r="A12" s="14" t="n">
        <v>46024</v>
      </c>
      <c r="B12" s="15" t="s">
        <v>60</v>
      </c>
      <c r="C12" s="15" t="s">
        <v>51</v>
      </c>
      <c r="D12" s="16" t="n">
        <v>1200</v>
      </c>
      <c r="E12" s="15" t="s">
        <v>16</v>
      </c>
      <c r="F12" s="15" t="s">
        <v>49</v>
      </c>
    </row>
    <row r="13" customFormat="false" ht="15" hidden="false" customHeight="false" outlineLevel="0" collapsed="false">
      <c r="A13" s="14" t="n">
        <v>46055</v>
      </c>
      <c r="B13" s="15" t="s">
        <v>61</v>
      </c>
      <c r="C13" s="15" t="s">
        <v>51</v>
      </c>
      <c r="D13" s="16" t="n">
        <v>1200</v>
      </c>
      <c r="E13" s="15" t="s">
        <v>16</v>
      </c>
      <c r="F13" s="15" t="s">
        <v>49</v>
      </c>
    </row>
    <row r="14" customFormat="false" ht="15" hidden="false" customHeight="false" outlineLevel="0" collapsed="false">
      <c r="A14" s="14" t="n">
        <v>46083</v>
      </c>
      <c r="B14" s="15" t="s">
        <v>62</v>
      </c>
      <c r="C14" s="15" t="s">
        <v>51</v>
      </c>
      <c r="D14" s="16" t="n">
        <v>1200</v>
      </c>
      <c r="E14" s="15" t="s">
        <v>16</v>
      </c>
      <c r="F14" s="15" t="s">
        <v>49</v>
      </c>
    </row>
    <row r="15" customFormat="false" ht="15" hidden="false" customHeight="false" outlineLevel="0" collapsed="false">
      <c r="A15" s="14" t="n">
        <v>45748</v>
      </c>
      <c r="B15" s="15" t="s">
        <v>63</v>
      </c>
      <c r="C15" s="15" t="s">
        <v>64</v>
      </c>
      <c r="D15" s="16" t="n">
        <v>1150</v>
      </c>
      <c r="E15" s="15" t="s">
        <v>18</v>
      </c>
      <c r="F15" s="15" t="s">
        <v>49</v>
      </c>
    </row>
    <row r="16" customFormat="false" ht="15" hidden="false" customHeight="false" outlineLevel="0" collapsed="false">
      <c r="A16" s="14" t="n">
        <v>45778</v>
      </c>
      <c r="B16" s="15" t="s">
        <v>65</v>
      </c>
      <c r="C16" s="15" t="s">
        <v>64</v>
      </c>
      <c r="D16" s="16" t="n">
        <v>1150</v>
      </c>
      <c r="E16" s="15" t="s">
        <v>18</v>
      </c>
      <c r="F16" s="15" t="s">
        <v>49</v>
      </c>
    </row>
    <row r="17" customFormat="false" ht="15" hidden="false" customHeight="false" outlineLevel="0" collapsed="false">
      <c r="A17" s="14" t="n">
        <v>45810</v>
      </c>
      <c r="B17" s="15" t="s">
        <v>66</v>
      </c>
      <c r="C17" s="15" t="s">
        <v>64</v>
      </c>
      <c r="D17" s="16" t="n">
        <v>1150</v>
      </c>
      <c r="E17" s="15" t="s">
        <v>18</v>
      </c>
      <c r="F17" s="15" t="s">
        <v>49</v>
      </c>
    </row>
    <row r="18" customFormat="false" ht="15" hidden="false" customHeight="false" outlineLevel="0" collapsed="false">
      <c r="A18" s="14" t="n">
        <v>45839</v>
      </c>
      <c r="B18" s="15" t="s">
        <v>67</v>
      </c>
      <c r="C18" s="15" t="s">
        <v>64</v>
      </c>
      <c r="D18" s="16" t="n">
        <v>1150</v>
      </c>
      <c r="E18" s="15" t="s">
        <v>18</v>
      </c>
      <c r="F18" s="15" t="s">
        <v>49</v>
      </c>
    </row>
    <row r="19" customFormat="false" ht="15" hidden="false" customHeight="false" outlineLevel="0" collapsed="false">
      <c r="A19" s="14" t="n">
        <v>45870</v>
      </c>
      <c r="B19" s="15" t="s">
        <v>68</v>
      </c>
      <c r="C19" s="15" t="s">
        <v>64</v>
      </c>
      <c r="D19" s="16" t="n">
        <v>1150</v>
      </c>
      <c r="E19" s="15" t="s">
        <v>18</v>
      </c>
      <c r="F19" s="15" t="s">
        <v>49</v>
      </c>
    </row>
    <row r="20" customFormat="false" ht="15" hidden="false" customHeight="false" outlineLevel="0" collapsed="false">
      <c r="A20" s="14" t="n">
        <v>45901</v>
      </c>
      <c r="B20" s="15" t="s">
        <v>69</v>
      </c>
      <c r="C20" s="15" t="s">
        <v>64</v>
      </c>
      <c r="D20" s="16" t="n">
        <v>1150</v>
      </c>
      <c r="E20" s="15" t="s">
        <v>18</v>
      </c>
      <c r="F20" s="15" t="s">
        <v>49</v>
      </c>
    </row>
    <row r="21" customFormat="false" ht="15" hidden="false" customHeight="false" outlineLevel="0" collapsed="false">
      <c r="A21" s="14" t="n">
        <v>45931</v>
      </c>
      <c r="B21" s="15" t="s">
        <v>70</v>
      </c>
      <c r="C21" s="15" t="s">
        <v>64</v>
      </c>
      <c r="D21" s="16" t="n">
        <v>1150</v>
      </c>
      <c r="E21" s="15" t="s">
        <v>18</v>
      </c>
      <c r="F21" s="15" t="s">
        <v>49</v>
      </c>
    </row>
    <row r="22" customFormat="false" ht="15" hidden="false" customHeight="false" outlineLevel="0" collapsed="false">
      <c r="A22" s="14" t="n">
        <v>45964</v>
      </c>
      <c r="B22" s="15" t="s">
        <v>71</v>
      </c>
      <c r="C22" s="15" t="s">
        <v>64</v>
      </c>
      <c r="D22" s="16" t="n">
        <v>1150</v>
      </c>
      <c r="E22" s="15" t="s">
        <v>18</v>
      </c>
      <c r="F22" s="15" t="s">
        <v>49</v>
      </c>
    </row>
    <row r="23" customFormat="false" ht="15" hidden="false" customHeight="false" outlineLevel="0" collapsed="false">
      <c r="A23" s="14" t="n">
        <v>45992</v>
      </c>
      <c r="B23" s="15" t="s">
        <v>72</v>
      </c>
      <c r="C23" s="15" t="s">
        <v>64</v>
      </c>
      <c r="D23" s="16" t="n">
        <v>1150</v>
      </c>
      <c r="E23" s="15" t="s">
        <v>18</v>
      </c>
      <c r="F23" s="15" t="s">
        <v>49</v>
      </c>
    </row>
    <row r="24" customFormat="false" ht="15" hidden="false" customHeight="false" outlineLevel="0" collapsed="false">
      <c r="A24" s="14" t="n">
        <v>46024</v>
      </c>
      <c r="B24" s="15" t="s">
        <v>73</v>
      </c>
      <c r="C24" s="15" t="s">
        <v>64</v>
      </c>
      <c r="D24" s="16" t="n">
        <v>1150</v>
      </c>
      <c r="E24" s="15" t="s">
        <v>18</v>
      </c>
      <c r="F24" s="15" t="s">
        <v>49</v>
      </c>
    </row>
    <row r="25" customFormat="false" ht="15" hidden="false" customHeight="false" outlineLevel="0" collapsed="false">
      <c r="A25" s="14" t="n">
        <v>46055</v>
      </c>
      <c r="B25" s="15" t="s">
        <v>74</v>
      </c>
      <c r="C25" s="15" t="s">
        <v>64</v>
      </c>
      <c r="D25" s="16" t="n">
        <v>1150</v>
      </c>
      <c r="E25" s="15" t="s">
        <v>18</v>
      </c>
      <c r="F25" s="15" t="s">
        <v>49</v>
      </c>
    </row>
    <row r="26" customFormat="false" ht="15" hidden="false" customHeight="false" outlineLevel="0" collapsed="false">
      <c r="A26" s="14" t="n">
        <v>46083</v>
      </c>
      <c r="B26" s="15" t="s">
        <v>75</v>
      </c>
      <c r="C26" s="15" t="s">
        <v>64</v>
      </c>
      <c r="D26" s="16" t="n">
        <v>1150</v>
      </c>
      <c r="E26" s="15" t="s">
        <v>18</v>
      </c>
      <c r="F26" s="15" t="s">
        <v>49</v>
      </c>
    </row>
    <row r="27" customFormat="false" ht="15" hidden="false" customHeight="false" outlineLevel="0" collapsed="false">
      <c r="A27" s="14" t="n">
        <v>45749</v>
      </c>
      <c r="B27" s="15" t="s">
        <v>76</v>
      </c>
      <c r="C27" s="15" t="s">
        <v>77</v>
      </c>
      <c r="D27" s="16" t="n">
        <v>600</v>
      </c>
      <c r="E27" s="15" t="s">
        <v>25</v>
      </c>
      <c r="F27" s="15" t="s">
        <v>49</v>
      </c>
    </row>
    <row r="28" customFormat="false" ht="15" hidden="false" customHeight="false" outlineLevel="0" collapsed="false">
      <c r="A28" s="14" t="n">
        <v>45779</v>
      </c>
      <c r="B28" s="15" t="s">
        <v>78</v>
      </c>
      <c r="C28" s="15" t="s">
        <v>77</v>
      </c>
      <c r="D28" s="16" t="n">
        <v>600</v>
      </c>
      <c r="E28" s="15" t="s">
        <v>25</v>
      </c>
      <c r="F28" s="15" t="s">
        <v>49</v>
      </c>
    </row>
    <row r="29" customFormat="false" ht="15" hidden="false" customHeight="false" outlineLevel="0" collapsed="false">
      <c r="A29" s="14" t="n">
        <v>45810</v>
      </c>
      <c r="B29" s="15" t="s">
        <v>79</v>
      </c>
      <c r="C29" s="15" t="s">
        <v>77</v>
      </c>
      <c r="D29" s="16" t="n">
        <v>600</v>
      </c>
      <c r="E29" s="15" t="s">
        <v>25</v>
      </c>
      <c r="F29" s="15" t="s">
        <v>49</v>
      </c>
    </row>
    <row r="30" customFormat="false" ht="15" hidden="false" customHeight="false" outlineLevel="0" collapsed="false">
      <c r="A30" s="14" t="n">
        <v>45840</v>
      </c>
      <c r="B30" s="15" t="s">
        <v>80</v>
      </c>
      <c r="C30" s="15" t="s">
        <v>77</v>
      </c>
      <c r="D30" s="16" t="n">
        <v>600</v>
      </c>
      <c r="E30" s="15" t="s">
        <v>25</v>
      </c>
      <c r="F30" s="15" t="s">
        <v>49</v>
      </c>
    </row>
    <row r="31" customFormat="false" ht="15" hidden="false" customHeight="false" outlineLevel="0" collapsed="false">
      <c r="A31" s="14" t="n">
        <v>45873</v>
      </c>
      <c r="B31" s="15" t="s">
        <v>81</v>
      </c>
      <c r="C31" s="15" t="s">
        <v>77</v>
      </c>
      <c r="D31" s="16" t="n">
        <v>600</v>
      </c>
      <c r="E31" s="15" t="s">
        <v>25</v>
      </c>
      <c r="F31" s="15" t="s">
        <v>49</v>
      </c>
    </row>
    <row r="32" customFormat="false" ht="15" hidden="false" customHeight="false" outlineLevel="0" collapsed="false">
      <c r="A32" s="14" t="n">
        <v>45902</v>
      </c>
      <c r="B32" s="15" t="s">
        <v>82</v>
      </c>
      <c r="C32" s="15" t="s">
        <v>77</v>
      </c>
      <c r="D32" s="16" t="n">
        <v>600</v>
      </c>
      <c r="E32" s="15" t="s">
        <v>25</v>
      </c>
      <c r="F32" s="15" t="s">
        <v>49</v>
      </c>
    </row>
    <row r="33" customFormat="false" ht="15" hidden="false" customHeight="false" outlineLevel="0" collapsed="false">
      <c r="A33" s="14" t="n">
        <v>45932</v>
      </c>
      <c r="B33" s="15" t="s">
        <v>83</v>
      </c>
      <c r="C33" s="15" t="s">
        <v>77</v>
      </c>
      <c r="D33" s="16" t="n">
        <v>600</v>
      </c>
      <c r="E33" s="15" t="s">
        <v>25</v>
      </c>
      <c r="F33" s="15" t="s">
        <v>49</v>
      </c>
    </row>
    <row r="34" customFormat="false" ht="15" hidden="false" customHeight="false" outlineLevel="0" collapsed="false">
      <c r="A34" s="14" t="n">
        <v>45964</v>
      </c>
      <c r="B34" s="15" t="s">
        <v>84</v>
      </c>
      <c r="C34" s="15" t="s">
        <v>77</v>
      </c>
      <c r="D34" s="16" t="n">
        <v>600</v>
      </c>
      <c r="E34" s="15" t="s">
        <v>25</v>
      </c>
      <c r="F34" s="15" t="s">
        <v>49</v>
      </c>
    </row>
    <row r="35" customFormat="false" ht="15" hidden="false" customHeight="false" outlineLevel="0" collapsed="false">
      <c r="A35" s="14" t="n">
        <v>45993</v>
      </c>
      <c r="B35" s="15" t="s">
        <v>85</v>
      </c>
      <c r="C35" s="15" t="s">
        <v>77</v>
      </c>
      <c r="D35" s="16" t="n">
        <v>600</v>
      </c>
      <c r="E35" s="15" t="s">
        <v>25</v>
      </c>
      <c r="F35" s="15" t="s">
        <v>49</v>
      </c>
    </row>
    <row r="36" customFormat="false" ht="15" hidden="false" customHeight="false" outlineLevel="0" collapsed="false">
      <c r="A36" s="14" t="n">
        <v>46024</v>
      </c>
      <c r="B36" s="15" t="s">
        <v>86</v>
      </c>
      <c r="C36" s="15" t="s">
        <v>77</v>
      </c>
      <c r="D36" s="16" t="n">
        <v>700</v>
      </c>
      <c r="E36" s="15" t="s">
        <v>25</v>
      </c>
      <c r="F36" s="15" t="s">
        <v>49</v>
      </c>
    </row>
    <row r="37" customFormat="false" ht="15" hidden="false" customHeight="false" outlineLevel="0" collapsed="false">
      <c r="A37" s="14" t="n">
        <v>46055</v>
      </c>
      <c r="B37" s="15" t="s">
        <v>87</v>
      </c>
      <c r="C37" s="15" t="s">
        <v>77</v>
      </c>
      <c r="D37" s="16" t="n">
        <v>700</v>
      </c>
      <c r="E37" s="15" t="s">
        <v>25</v>
      </c>
      <c r="F37" s="15" t="s">
        <v>49</v>
      </c>
    </row>
    <row r="38" customFormat="false" ht="15" hidden="false" customHeight="false" outlineLevel="0" collapsed="false">
      <c r="A38" s="14" t="n">
        <v>46083</v>
      </c>
      <c r="B38" s="15" t="s">
        <v>88</v>
      </c>
      <c r="C38" s="15" t="s">
        <v>77</v>
      </c>
      <c r="D38" s="16" t="n">
        <v>700</v>
      </c>
      <c r="E38" s="15" t="s">
        <v>25</v>
      </c>
      <c r="F38" s="15" t="s">
        <v>49</v>
      </c>
    </row>
    <row r="39" customFormat="false" ht="15" hidden="false" customHeight="false" outlineLevel="0" collapsed="false">
      <c r="A39" s="14" t="n">
        <v>45754</v>
      </c>
      <c r="B39" s="15" t="s">
        <v>89</v>
      </c>
      <c r="C39" s="15" t="s">
        <v>90</v>
      </c>
      <c r="D39" s="16" t="n">
        <v>2000</v>
      </c>
      <c r="E39" s="15" t="s">
        <v>9</v>
      </c>
      <c r="F39" s="15" t="s">
        <v>91</v>
      </c>
    </row>
    <row r="40" customFormat="false" ht="15" hidden="false" customHeight="false" outlineLevel="0" collapsed="false">
      <c r="A40" s="14" t="n">
        <v>45783</v>
      </c>
      <c r="B40" s="15" t="s">
        <v>92</v>
      </c>
      <c r="C40" s="15" t="s">
        <v>90</v>
      </c>
      <c r="D40" s="16" t="n">
        <v>2000</v>
      </c>
      <c r="E40" s="15" t="s">
        <v>9</v>
      </c>
      <c r="F40" s="15" t="s">
        <v>91</v>
      </c>
    </row>
    <row r="41" customFormat="false" ht="15" hidden="false" customHeight="false" outlineLevel="0" collapsed="false">
      <c r="A41" s="14" t="n">
        <v>45813</v>
      </c>
      <c r="B41" s="15" t="s">
        <v>93</v>
      </c>
      <c r="C41" s="15" t="s">
        <v>90</v>
      </c>
      <c r="D41" s="16" t="n">
        <v>2000</v>
      </c>
      <c r="E41" s="15" t="s">
        <v>9</v>
      </c>
      <c r="F41" s="15" t="s">
        <v>91</v>
      </c>
    </row>
    <row r="42" customFormat="false" ht="15" hidden="false" customHeight="false" outlineLevel="0" collapsed="false">
      <c r="A42" s="14" t="n">
        <v>45842</v>
      </c>
      <c r="B42" s="15" t="s">
        <v>94</v>
      </c>
      <c r="C42" s="15" t="s">
        <v>95</v>
      </c>
      <c r="D42" s="16" t="n">
        <v>2000</v>
      </c>
      <c r="E42" s="15" t="s">
        <v>9</v>
      </c>
      <c r="F42" s="15" t="s">
        <v>91</v>
      </c>
    </row>
    <row r="43" customFormat="false" ht="15" hidden="false" customHeight="false" outlineLevel="0" collapsed="false">
      <c r="A43" s="14" t="n">
        <v>45874</v>
      </c>
      <c r="B43" s="15" t="s">
        <v>96</v>
      </c>
      <c r="C43" s="15" t="s">
        <v>95</v>
      </c>
      <c r="D43" s="16" t="n">
        <v>2000</v>
      </c>
      <c r="E43" s="15" t="s">
        <v>9</v>
      </c>
      <c r="F43" s="15" t="s">
        <v>91</v>
      </c>
    </row>
    <row r="44" customFormat="false" ht="15" hidden="false" customHeight="false" outlineLevel="0" collapsed="false">
      <c r="A44" s="14" t="n">
        <v>45905</v>
      </c>
      <c r="B44" s="15" t="s">
        <v>97</v>
      </c>
      <c r="C44" s="15" t="s">
        <v>90</v>
      </c>
      <c r="D44" s="16" t="n">
        <v>2000</v>
      </c>
      <c r="E44" s="15" t="s">
        <v>9</v>
      </c>
      <c r="F44" s="15" t="s">
        <v>91</v>
      </c>
    </row>
    <row r="45" customFormat="false" ht="15" hidden="false" customHeight="false" outlineLevel="0" collapsed="false">
      <c r="A45" s="14" t="n">
        <v>45936</v>
      </c>
      <c r="B45" s="15" t="s">
        <v>98</v>
      </c>
      <c r="C45" s="15" t="s">
        <v>95</v>
      </c>
      <c r="D45" s="16" t="n">
        <v>2000</v>
      </c>
      <c r="E45" s="15" t="s">
        <v>9</v>
      </c>
      <c r="F45" s="15" t="s">
        <v>91</v>
      </c>
    </row>
    <row r="46" customFormat="false" ht="15" hidden="false" customHeight="false" outlineLevel="0" collapsed="false">
      <c r="A46" s="14" t="n">
        <v>45968</v>
      </c>
      <c r="B46" s="15" t="s">
        <v>99</v>
      </c>
      <c r="C46" s="15" t="s">
        <v>90</v>
      </c>
      <c r="D46" s="16" t="n">
        <v>2100</v>
      </c>
      <c r="E46" s="15" t="s">
        <v>9</v>
      </c>
      <c r="F46" s="15" t="s">
        <v>91</v>
      </c>
    </row>
    <row r="47" customFormat="false" ht="15" hidden="false" customHeight="false" outlineLevel="0" collapsed="false">
      <c r="A47" s="14" t="n">
        <v>45996</v>
      </c>
      <c r="B47" s="15" t="s">
        <v>100</v>
      </c>
      <c r="C47" s="15" t="s">
        <v>101</v>
      </c>
      <c r="D47" s="16" t="n">
        <v>2100</v>
      </c>
      <c r="E47" s="15" t="s">
        <v>9</v>
      </c>
      <c r="F47" s="15" t="s">
        <v>49</v>
      </c>
    </row>
    <row r="48" customFormat="false" ht="15" hidden="false" customHeight="false" outlineLevel="0" collapsed="false">
      <c r="A48" s="14" t="n">
        <v>46027</v>
      </c>
      <c r="B48" s="15" t="s">
        <v>102</v>
      </c>
      <c r="C48" s="15" t="s">
        <v>101</v>
      </c>
      <c r="D48" s="16" t="n">
        <v>2100</v>
      </c>
      <c r="E48" s="15" t="s">
        <v>9</v>
      </c>
      <c r="F48" s="15" t="s">
        <v>49</v>
      </c>
    </row>
    <row r="49" customFormat="false" ht="15" hidden="false" customHeight="false" outlineLevel="0" collapsed="false">
      <c r="A49" s="14" t="n">
        <v>46058</v>
      </c>
      <c r="B49" s="15" t="s">
        <v>103</v>
      </c>
      <c r="C49" s="15" t="s">
        <v>101</v>
      </c>
      <c r="D49" s="16" t="n">
        <v>2100</v>
      </c>
      <c r="E49" s="15" t="s">
        <v>9</v>
      </c>
      <c r="F49" s="15" t="s">
        <v>49</v>
      </c>
    </row>
    <row r="50" customFormat="false" ht="15" hidden="false" customHeight="false" outlineLevel="0" collapsed="false">
      <c r="A50" s="14" t="n">
        <v>46086</v>
      </c>
      <c r="B50" s="15" t="s">
        <v>104</v>
      </c>
      <c r="C50" s="15" t="s">
        <v>101</v>
      </c>
      <c r="D50" s="16" t="n">
        <v>2100</v>
      </c>
      <c r="E50" s="15" t="s">
        <v>9</v>
      </c>
      <c r="F50" s="15" t="s">
        <v>49</v>
      </c>
    </row>
    <row r="51" customFormat="false" ht="15" hidden="false" customHeight="false" outlineLevel="0" collapsed="false">
      <c r="A51" s="14" t="n">
        <v>45748</v>
      </c>
      <c r="B51" s="15" t="s">
        <v>105</v>
      </c>
      <c r="C51" s="15" t="s">
        <v>106</v>
      </c>
      <c r="D51" s="16" t="n">
        <v>1200</v>
      </c>
      <c r="E51" s="15" t="s">
        <v>14</v>
      </c>
      <c r="F51" s="15" t="s">
        <v>49</v>
      </c>
    </row>
    <row r="52" customFormat="false" ht="15" hidden="false" customHeight="false" outlineLevel="0" collapsed="false">
      <c r="A52" s="14" t="n">
        <v>45778</v>
      </c>
      <c r="B52" s="15" t="s">
        <v>107</v>
      </c>
      <c r="C52" s="15" t="s">
        <v>106</v>
      </c>
      <c r="D52" s="16" t="n">
        <v>1200</v>
      </c>
      <c r="E52" s="15" t="s">
        <v>14</v>
      </c>
      <c r="F52" s="15" t="s">
        <v>49</v>
      </c>
    </row>
    <row r="53" customFormat="false" ht="15" hidden="false" customHeight="false" outlineLevel="0" collapsed="false">
      <c r="A53" s="14" t="n">
        <v>45810</v>
      </c>
      <c r="B53" s="15" t="s">
        <v>108</v>
      </c>
      <c r="C53" s="15" t="s">
        <v>106</v>
      </c>
      <c r="D53" s="16" t="n">
        <v>1200</v>
      </c>
      <c r="E53" s="15" t="s">
        <v>14</v>
      </c>
      <c r="F53" s="15" t="s">
        <v>49</v>
      </c>
    </row>
    <row r="54" customFormat="false" ht="15" hidden="false" customHeight="false" outlineLevel="0" collapsed="false">
      <c r="A54" s="14" t="n">
        <v>45839</v>
      </c>
      <c r="B54" s="15" t="s">
        <v>109</v>
      </c>
      <c r="C54" s="15" t="s">
        <v>106</v>
      </c>
      <c r="D54" s="16" t="n">
        <v>1200</v>
      </c>
      <c r="E54" s="15" t="s">
        <v>14</v>
      </c>
      <c r="F54" s="15" t="s">
        <v>49</v>
      </c>
    </row>
    <row r="55" customFormat="false" ht="15" hidden="false" customHeight="false" outlineLevel="0" collapsed="false">
      <c r="A55" s="14" t="n">
        <v>45870</v>
      </c>
      <c r="B55" s="15" t="s">
        <v>110</v>
      </c>
      <c r="C55" s="15" t="s">
        <v>106</v>
      </c>
      <c r="D55" s="16" t="n">
        <v>1200</v>
      </c>
      <c r="E55" s="15" t="s">
        <v>14</v>
      </c>
      <c r="F55" s="15" t="s">
        <v>49</v>
      </c>
    </row>
    <row r="56" customFormat="false" ht="15" hidden="false" customHeight="false" outlineLevel="0" collapsed="false">
      <c r="A56" s="14" t="n">
        <v>45901</v>
      </c>
      <c r="B56" s="15" t="s">
        <v>111</v>
      </c>
      <c r="C56" s="15" t="s">
        <v>106</v>
      </c>
      <c r="D56" s="16" t="n">
        <v>1200</v>
      </c>
      <c r="E56" s="15" t="s">
        <v>14</v>
      </c>
      <c r="F56" s="15" t="s">
        <v>49</v>
      </c>
    </row>
    <row r="57" customFormat="false" ht="15" hidden="false" customHeight="false" outlineLevel="0" collapsed="false">
      <c r="A57" s="14" t="n">
        <v>45931</v>
      </c>
      <c r="B57" s="15" t="s">
        <v>112</v>
      </c>
      <c r="C57" s="15" t="s">
        <v>106</v>
      </c>
      <c r="D57" s="16" t="n">
        <v>1200</v>
      </c>
      <c r="E57" s="15" t="s">
        <v>14</v>
      </c>
      <c r="F57" s="15" t="s">
        <v>49</v>
      </c>
    </row>
    <row r="58" customFormat="false" ht="15" hidden="false" customHeight="false" outlineLevel="0" collapsed="false">
      <c r="A58" s="14" t="n">
        <v>45964</v>
      </c>
      <c r="B58" s="15" t="s">
        <v>113</v>
      </c>
      <c r="C58" s="15" t="s">
        <v>106</v>
      </c>
      <c r="D58" s="16" t="n">
        <v>1200</v>
      </c>
      <c r="E58" s="15" t="s">
        <v>14</v>
      </c>
      <c r="F58" s="15" t="s">
        <v>49</v>
      </c>
    </row>
    <row r="59" customFormat="false" ht="15" hidden="false" customHeight="false" outlineLevel="0" collapsed="false">
      <c r="A59" s="14" t="n">
        <v>45992</v>
      </c>
      <c r="B59" s="15" t="s">
        <v>114</v>
      </c>
      <c r="C59" s="15" t="s">
        <v>106</v>
      </c>
      <c r="D59" s="16" t="n">
        <v>1200</v>
      </c>
      <c r="E59" s="15" t="s">
        <v>14</v>
      </c>
      <c r="F59" s="15" t="s">
        <v>49</v>
      </c>
    </row>
    <row r="60" customFormat="false" ht="15" hidden="false" customHeight="false" outlineLevel="0" collapsed="false">
      <c r="A60" s="14" t="n">
        <v>46024</v>
      </c>
      <c r="B60" s="15" t="s">
        <v>115</v>
      </c>
      <c r="C60" s="15" t="s">
        <v>106</v>
      </c>
      <c r="D60" s="16" t="n">
        <v>1200</v>
      </c>
      <c r="E60" s="15" t="s">
        <v>14</v>
      </c>
      <c r="F60" s="15" t="s">
        <v>49</v>
      </c>
    </row>
    <row r="61" customFormat="false" ht="15" hidden="false" customHeight="false" outlineLevel="0" collapsed="false">
      <c r="A61" s="14" t="n">
        <v>46055</v>
      </c>
      <c r="B61" s="15" t="s">
        <v>116</v>
      </c>
      <c r="C61" s="15" t="s">
        <v>106</v>
      </c>
      <c r="D61" s="16" t="n">
        <v>1200</v>
      </c>
      <c r="E61" s="15" t="s">
        <v>14</v>
      </c>
      <c r="F61" s="15" t="s">
        <v>49</v>
      </c>
    </row>
    <row r="62" customFormat="false" ht="15" hidden="false" customHeight="false" outlineLevel="0" collapsed="false">
      <c r="A62" s="14" t="n">
        <v>46083</v>
      </c>
      <c r="B62" s="15" t="s">
        <v>117</v>
      </c>
      <c r="C62" s="15" t="s">
        <v>106</v>
      </c>
      <c r="D62" s="16" t="n">
        <v>1200</v>
      </c>
      <c r="E62" s="15" t="s">
        <v>14</v>
      </c>
      <c r="F62" s="15" t="s">
        <v>49</v>
      </c>
    </row>
    <row r="63" customFormat="false" ht="15" hidden="false" customHeight="false" outlineLevel="0" collapsed="false">
      <c r="A63" s="14" t="n">
        <v>45950</v>
      </c>
      <c r="B63" s="15" t="s">
        <v>118</v>
      </c>
      <c r="C63" s="15" t="s">
        <v>119</v>
      </c>
      <c r="D63" s="16" t="n">
        <v>2200</v>
      </c>
      <c r="E63" s="15" t="s">
        <v>19</v>
      </c>
      <c r="F63" s="15" t="s">
        <v>49</v>
      </c>
    </row>
    <row r="64" customFormat="false" ht="15" hidden="false" customHeight="false" outlineLevel="0" collapsed="false">
      <c r="A64" s="14" t="n">
        <v>45979</v>
      </c>
      <c r="B64" s="15" t="s">
        <v>120</v>
      </c>
      <c r="C64" s="15" t="s">
        <v>119</v>
      </c>
      <c r="D64" s="16" t="n">
        <v>2200</v>
      </c>
      <c r="E64" s="15" t="s">
        <v>19</v>
      </c>
      <c r="F64" s="15" t="s">
        <v>49</v>
      </c>
    </row>
    <row r="65" customFormat="false" ht="15" hidden="false" customHeight="false" outlineLevel="0" collapsed="false">
      <c r="A65" s="14" t="n">
        <v>46009</v>
      </c>
      <c r="B65" s="15" t="s">
        <v>121</v>
      </c>
      <c r="C65" s="15" t="s">
        <v>119</v>
      </c>
      <c r="D65" s="16" t="n">
        <v>2200</v>
      </c>
      <c r="E65" s="15" t="s">
        <v>19</v>
      </c>
      <c r="F65" s="15" t="s">
        <v>49</v>
      </c>
    </row>
    <row r="66" customFormat="false" ht="15" hidden="false" customHeight="false" outlineLevel="0" collapsed="false">
      <c r="A66" s="14" t="n">
        <v>46041</v>
      </c>
      <c r="B66" s="15" t="s">
        <v>122</v>
      </c>
      <c r="C66" s="15" t="s">
        <v>119</v>
      </c>
      <c r="D66" s="16" t="n">
        <v>2200</v>
      </c>
      <c r="E66" s="15" t="s">
        <v>19</v>
      </c>
      <c r="F66" s="15" t="s">
        <v>49</v>
      </c>
    </row>
    <row r="67" customFormat="false" ht="15" hidden="false" customHeight="false" outlineLevel="0" collapsed="false">
      <c r="A67" s="14" t="n">
        <v>46071</v>
      </c>
      <c r="B67" s="15" t="s">
        <v>123</v>
      </c>
      <c r="C67" s="15" t="s">
        <v>119</v>
      </c>
      <c r="D67" s="16" t="n">
        <v>2200</v>
      </c>
      <c r="E67" s="15" t="s">
        <v>19</v>
      </c>
      <c r="F67" s="15" t="s">
        <v>49</v>
      </c>
    </row>
    <row r="68" customFormat="false" ht="15" hidden="false" customHeight="false" outlineLevel="0" collapsed="false">
      <c r="A68" s="14" t="n">
        <v>46099</v>
      </c>
      <c r="B68" s="15" t="s">
        <v>124</v>
      </c>
      <c r="C68" s="15" t="s">
        <v>119</v>
      </c>
      <c r="D68" s="16" t="n">
        <v>2200</v>
      </c>
      <c r="E68" s="15" t="s">
        <v>19</v>
      </c>
      <c r="F68" s="15" t="s">
        <v>49</v>
      </c>
    </row>
    <row r="69" customFormat="false" ht="15" hidden="false" customHeight="false" outlineLevel="0" collapsed="false">
      <c r="A69" s="14" t="n">
        <v>45932</v>
      </c>
      <c r="B69" s="15" t="s">
        <v>125</v>
      </c>
      <c r="C69" s="15" t="s">
        <v>126</v>
      </c>
      <c r="D69" s="16" t="n">
        <v>2494</v>
      </c>
      <c r="E69" s="15" t="s">
        <v>11</v>
      </c>
      <c r="F69" s="15" t="s">
        <v>91</v>
      </c>
    </row>
    <row r="70" customFormat="false" ht="15" hidden="false" customHeight="false" outlineLevel="0" collapsed="false">
      <c r="A70" s="14" t="n">
        <v>45958</v>
      </c>
      <c r="B70" s="15" t="s">
        <v>127</v>
      </c>
      <c r="C70" s="15" t="s">
        <v>128</v>
      </c>
      <c r="D70" s="16" t="n">
        <v>2500</v>
      </c>
      <c r="E70" s="15" t="s">
        <v>11</v>
      </c>
      <c r="F70" s="15" t="s">
        <v>49</v>
      </c>
    </row>
    <row r="71" customFormat="false" ht="15" hidden="false" customHeight="false" outlineLevel="0" collapsed="false">
      <c r="A71" s="14" t="n">
        <v>45989</v>
      </c>
      <c r="B71" s="15" t="s">
        <v>129</v>
      </c>
      <c r="C71" s="15" t="s">
        <v>128</v>
      </c>
      <c r="D71" s="16" t="n">
        <v>2500</v>
      </c>
      <c r="E71" s="15" t="s">
        <v>11</v>
      </c>
      <c r="F71" s="15" t="s">
        <v>49</v>
      </c>
    </row>
    <row r="72" customFormat="false" ht="15" hidden="false" customHeight="false" outlineLevel="0" collapsed="false">
      <c r="A72" s="14" t="n">
        <v>46020</v>
      </c>
      <c r="B72" s="15" t="s">
        <v>130</v>
      </c>
      <c r="C72" s="15" t="s">
        <v>128</v>
      </c>
      <c r="D72" s="16" t="n">
        <v>2500</v>
      </c>
      <c r="E72" s="15" t="s">
        <v>11</v>
      </c>
      <c r="F72" s="15" t="s">
        <v>49</v>
      </c>
    </row>
    <row r="73" customFormat="false" ht="15" hidden="false" customHeight="false" outlineLevel="0" collapsed="false">
      <c r="A73" s="14" t="n">
        <v>46050</v>
      </c>
      <c r="B73" s="15" t="s">
        <v>131</v>
      </c>
      <c r="C73" s="15" t="s">
        <v>128</v>
      </c>
      <c r="D73" s="16" t="n">
        <v>2500</v>
      </c>
      <c r="E73" s="15" t="s">
        <v>11</v>
      </c>
      <c r="F73" s="15" t="s">
        <v>49</v>
      </c>
    </row>
    <row r="74" customFormat="false" ht="15" hidden="false" customHeight="false" outlineLevel="0" collapsed="false">
      <c r="A74" s="14" t="n">
        <v>46083</v>
      </c>
      <c r="B74" s="15" t="s">
        <v>132</v>
      </c>
      <c r="C74" s="15" t="s">
        <v>128</v>
      </c>
      <c r="D74" s="16" t="n">
        <v>2500</v>
      </c>
      <c r="E74" s="15" t="s">
        <v>11</v>
      </c>
      <c r="F74" s="15" t="s">
        <v>49</v>
      </c>
    </row>
    <row r="75" customFormat="false" ht="15" hidden="false" customHeight="false" outlineLevel="0" collapsed="false">
      <c r="A75" s="14" t="n">
        <v>46111</v>
      </c>
      <c r="B75" s="15" t="s">
        <v>133</v>
      </c>
      <c r="C75" s="15" t="s">
        <v>128</v>
      </c>
      <c r="D75" s="16" t="n">
        <v>2500</v>
      </c>
      <c r="E75" s="15" t="s">
        <v>11</v>
      </c>
      <c r="F75" s="15" t="s">
        <v>49</v>
      </c>
    </row>
    <row r="76" customFormat="false" ht="15" hidden="false" customHeight="false" outlineLevel="0" collapsed="false">
      <c r="A76" s="14" t="n">
        <v>45887</v>
      </c>
      <c r="B76" s="15" t="s">
        <v>134</v>
      </c>
      <c r="C76" s="15" t="s">
        <v>135</v>
      </c>
      <c r="D76" s="16" t="n">
        <v>500</v>
      </c>
      <c r="E76" s="15" t="s">
        <v>34</v>
      </c>
      <c r="F76" s="15" t="s">
        <v>136</v>
      </c>
    </row>
    <row r="77" customFormat="false" ht="15" hidden="false" customHeight="false" outlineLevel="0" collapsed="false">
      <c r="A77" s="14" t="n">
        <v>45887</v>
      </c>
      <c r="B77" s="15" t="s">
        <v>137</v>
      </c>
      <c r="C77" s="15" t="s">
        <v>138</v>
      </c>
      <c r="D77" s="16" t="n">
        <v>3206</v>
      </c>
      <c r="E77" s="15" t="s">
        <v>34</v>
      </c>
      <c r="F77" s="15" t="s">
        <v>91</v>
      </c>
    </row>
    <row r="78" customFormat="false" ht="15" hidden="false" customHeight="false" outlineLevel="0" collapsed="false">
      <c r="A78" s="14" t="n">
        <v>45897</v>
      </c>
      <c r="B78" s="15" t="s">
        <v>139</v>
      </c>
      <c r="C78" s="15" t="s">
        <v>135</v>
      </c>
      <c r="D78" s="16" t="n">
        <v>500</v>
      </c>
      <c r="E78" s="15" t="s">
        <v>34</v>
      </c>
      <c r="F78" s="15" t="s">
        <v>136</v>
      </c>
    </row>
    <row r="79" customFormat="false" ht="15" hidden="false" customHeight="false" outlineLevel="0" collapsed="false">
      <c r="A79" s="14" t="n">
        <v>45897</v>
      </c>
      <c r="B79" s="15" t="s">
        <v>140</v>
      </c>
      <c r="C79" s="15" t="s">
        <v>141</v>
      </c>
      <c r="D79" s="16" t="n">
        <v>3506</v>
      </c>
      <c r="E79" s="15" t="s">
        <v>34</v>
      </c>
      <c r="F79" s="15" t="s">
        <v>91</v>
      </c>
    </row>
    <row r="80" customFormat="false" ht="15" hidden="false" customHeight="false" outlineLevel="0" collapsed="false">
      <c r="A80" s="14" t="n">
        <v>45783</v>
      </c>
      <c r="B80" s="15" t="s">
        <v>142</v>
      </c>
      <c r="C80" s="15" t="s">
        <v>143</v>
      </c>
      <c r="D80" s="16" t="n">
        <v>870</v>
      </c>
      <c r="E80" s="15" t="s">
        <v>20</v>
      </c>
      <c r="F80" s="15" t="s">
        <v>91</v>
      </c>
    </row>
    <row r="81" customFormat="false" ht="15" hidden="false" customHeight="false" outlineLevel="0" collapsed="false">
      <c r="A81" s="14" t="n">
        <v>45789</v>
      </c>
      <c r="B81" s="15" t="s">
        <v>144</v>
      </c>
      <c r="C81" s="15" t="s">
        <v>143</v>
      </c>
      <c r="D81" s="16" t="n">
        <v>3480</v>
      </c>
      <c r="E81" s="15" t="s">
        <v>20</v>
      </c>
      <c r="F81" s="15" t="s">
        <v>91</v>
      </c>
    </row>
    <row r="82" customFormat="false" ht="15" hidden="false" customHeight="false" outlineLevel="0" collapsed="false">
      <c r="A82" s="14" t="n">
        <v>46020</v>
      </c>
      <c r="B82" s="15" t="s">
        <v>145</v>
      </c>
      <c r="C82" s="15" t="s">
        <v>143</v>
      </c>
      <c r="D82" s="16" t="n">
        <v>6090</v>
      </c>
      <c r="E82" s="15" t="s">
        <v>20</v>
      </c>
      <c r="F82" s="15" t="s">
        <v>91</v>
      </c>
    </row>
    <row r="83" customFormat="false" ht="15" hidden="false" customHeight="false" outlineLevel="0" collapsed="false">
      <c r="A83" s="14" t="n">
        <v>46024</v>
      </c>
      <c r="B83" s="15" t="s">
        <v>146</v>
      </c>
      <c r="C83" s="15" t="s">
        <v>147</v>
      </c>
      <c r="D83" s="16" t="n">
        <v>900</v>
      </c>
      <c r="E83" s="15" t="s">
        <v>20</v>
      </c>
      <c r="F83" s="15" t="s">
        <v>49</v>
      </c>
    </row>
    <row r="84" customFormat="false" ht="15" hidden="false" customHeight="false" outlineLevel="0" collapsed="false">
      <c r="A84" s="14" t="n">
        <v>46055</v>
      </c>
      <c r="B84" s="15" t="s">
        <v>148</v>
      </c>
      <c r="C84" s="15" t="s">
        <v>147</v>
      </c>
      <c r="D84" s="16" t="n">
        <v>900</v>
      </c>
      <c r="E84" s="15" t="s">
        <v>20</v>
      </c>
      <c r="F84" s="15" t="s">
        <v>49</v>
      </c>
    </row>
    <row r="85" customFormat="false" ht="15" hidden="false" customHeight="false" outlineLevel="0" collapsed="false">
      <c r="A85" s="14" t="n">
        <v>46083</v>
      </c>
      <c r="B85" s="15" t="s">
        <v>149</v>
      </c>
      <c r="C85" s="15" t="s">
        <v>147</v>
      </c>
      <c r="D85" s="16" t="n">
        <v>900</v>
      </c>
      <c r="E85" s="15" t="s">
        <v>20</v>
      </c>
      <c r="F85" s="15" t="s">
        <v>49</v>
      </c>
    </row>
    <row r="86" customFormat="false" ht="15" hidden="false" customHeight="false" outlineLevel="0" collapsed="false">
      <c r="A86" s="14" t="n">
        <v>46002</v>
      </c>
      <c r="B86" s="15" t="s">
        <v>150</v>
      </c>
      <c r="C86" s="15" t="s">
        <v>151</v>
      </c>
      <c r="D86" s="16" t="n">
        <v>685.52</v>
      </c>
      <c r="E86" s="15" t="s">
        <v>37</v>
      </c>
      <c r="F86" s="15" t="s">
        <v>152</v>
      </c>
    </row>
    <row r="87" customFormat="false" ht="15" hidden="false" customHeight="false" outlineLevel="0" collapsed="false">
      <c r="A87" s="14" t="n">
        <v>46050</v>
      </c>
      <c r="B87" s="15" t="s">
        <v>153</v>
      </c>
      <c r="C87" s="15" t="s">
        <v>151</v>
      </c>
      <c r="D87" s="16" t="n">
        <v>232.32</v>
      </c>
      <c r="E87" s="15" t="s">
        <v>37</v>
      </c>
      <c r="F87" s="15" t="s">
        <v>152</v>
      </c>
    </row>
    <row r="88" customFormat="false" ht="15" hidden="false" customHeight="false" outlineLevel="0" collapsed="false">
      <c r="A88" s="14" t="n">
        <v>46068</v>
      </c>
      <c r="B88" s="15" t="s">
        <v>154</v>
      </c>
      <c r="C88" s="15" t="s">
        <v>151</v>
      </c>
      <c r="D88" s="16" t="n">
        <v>287.52</v>
      </c>
      <c r="E88" s="15" t="s">
        <v>37</v>
      </c>
      <c r="F88" s="15" t="s">
        <v>152</v>
      </c>
    </row>
    <row r="89" customFormat="false" ht="15" hidden="false" customHeight="false" outlineLevel="0" collapsed="false">
      <c r="A89" s="14" t="n">
        <v>46068</v>
      </c>
      <c r="B89" s="15" t="s">
        <v>155</v>
      </c>
      <c r="C89" s="15" t="s">
        <v>151</v>
      </c>
      <c r="D89" s="16" t="n">
        <v>18.59</v>
      </c>
      <c r="E89" s="15" t="s">
        <v>37</v>
      </c>
      <c r="F89" s="15" t="s">
        <v>152</v>
      </c>
    </row>
    <row r="90" customFormat="false" ht="15" hidden="false" customHeight="false" outlineLevel="0" collapsed="false">
      <c r="A90" s="14" t="n">
        <v>46096</v>
      </c>
      <c r="B90" s="15" t="s">
        <v>156</v>
      </c>
      <c r="C90" s="15" t="s">
        <v>151</v>
      </c>
      <c r="D90" s="16" t="n">
        <v>287.52</v>
      </c>
      <c r="E90" s="15" t="s">
        <v>37</v>
      </c>
      <c r="F90" s="15" t="s">
        <v>152</v>
      </c>
    </row>
    <row r="91" customFormat="false" ht="15" hidden="false" customHeight="false" outlineLevel="0" collapsed="false">
      <c r="A91" s="14" t="n">
        <v>46034</v>
      </c>
      <c r="B91" s="15" t="s">
        <v>157</v>
      </c>
      <c r="C91" s="15" t="s">
        <v>158</v>
      </c>
      <c r="D91" s="16" t="n">
        <v>101.92</v>
      </c>
      <c r="E91" s="15" t="s">
        <v>28</v>
      </c>
      <c r="F91" s="15" t="s">
        <v>91</v>
      </c>
    </row>
    <row r="92" customFormat="false" ht="15" hidden="false" customHeight="false" outlineLevel="0" collapsed="false">
      <c r="A92" s="14" t="n">
        <v>46034</v>
      </c>
      <c r="B92" s="15" t="s">
        <v>159</v>
      </c>
      <c r="C92" s="15" t="s">
        <v>158</v>
      </c>
      <c r="D92" s="16" t="n">
        <v>1200</v>
      </c>
      <c r="E92" s="15" t="s">
        <v>28</v>
      </c>
      <c r="F92" s="15" t="s">
        <v>91</v>
      </c>
    </row>
    <row r="93" customFormat="false" ht="15" hidden="false" customHeight="false" outlineLevel="0" collapsed="false">
      <c r="A93" s="14" t="n">
        <v>46055</v>
      </c>
      <c r="B93" s="15" t="s">
        <v>160</v>
      </c>
      <c r="C93" s="15" t="s">
        <v>161</v>
      </c>
      <c r="D93" s="16" t="n">
        <v>1800</v>
      </c>
      <c r="E93" s="15" t="s">
        <v>28</v>
      </c>
      <c r="F93" s="15" t="s">
        <v>49</v>
      </c>
    </row>
    <row r="94" customFormat="false" ht="15" hidden="false" customHeight="false" outlineLevel="0" collapsed="false">
      <c r="A94" s="14" t="n">
        <v>46083</v>
      </c>
      <c r="B94" s="15" t="s">
        <v>162</v>
      </c>
      <c r="C94" s="15" t="s">
        <v>161</v>
      </c>
      <c r="D94" s="16" t="n">
        <v>1800</v>
      </c>
      <c r="E94" s="15" t="s">
        <v>28</v>
      </c>
      <c r="F94" s="15" t="s">
        <v>49</v>
      </c>
    </row>
    <row r="95" customFormat="false" ht="15" hidden="false" customHeight="false" outlineLevel="0" collapsed="false">
      <c r="A95" s="14" t="n">
        <v>45967</v>
      </c>
      <c r="B95" s="15" t="s">
        <v>163</v>
      </c>
      <c r="C95" s="15" t="s">
        <v>164</v>
      </c>
      <c r="D95" s="16" t="n">
        <v>250</v>
      </c>
      <c r="E95" s="15" t="s">
        <v>22</v>
      </c>
      <c r="F95" s="15" t="s">
        <v>91</v>
      </c>
    </row>
    <row r="96" customFormat="false" ht="15" hidden="false" customHeight="false" outlineLevel="0" collapsed="false">
      <c r="A96" s="14" t="n">
        <v>45985</v>
      </c>
      <c r="B96" s="15" t="s">
        <v>165</v>
      </c>
      <c r="C96" s="15" t="s">
        <v>164</v>
      </c>
      <c r="D96" s="16" t="n">
        <v>1600</v>
      </c>
      <c r="E96" s="15" t="s">
        <v>22</v>
      </c>
      <c r="F96" s="15" t="s">
        <v>91</v>
      </c>
    </row>
    <row r="97" customFormat="false" ht="15" hidden="false" customHeight="false" outlineLevel="0" collapsed="false">
      <c r="A97" s="14" t="n">
        <v>46003</v>
      </c>
      <c r="B97" s="15" t="s">
        <v>166</v>
      </c>
      <c r="C97" s="15" t="s">
        <v>167</v>
      </c>
      <c r="D97" s="16" t="n">
        <v>1600</v>
      </c>
      <c r="E97" s="15" t="s">
        <v>22</v>
      </c>
      <c r="F97" s="15" t="s">
        <v>91</v>
      </c>
    </row>
    <row r="98" customFormat="false" ht="15" hidden="false" customHeight="false" outlineLevel="0" collapsed="false">
      <c r="A98" s="14" t="n">
        <v>46029</v>
      </c>
      <c r="B98" s="15" t="s">
        <v>168</v>
      </c>
      <c r="C98" s="15" t="s">
        <v>169</v>
      </c>
      <c r="D98" s="16" t="n">
        <v>1600</v>
      </c>
      <c r="E98" s="15" t="s">
        <v>22</v>
      </c>
      <c r="F98" s="15" t="s">
        <v>49</v>
      </c>
    </row>
    <row r="99" customFormat="false" ht="15" hidden="false" customHeight="false" outlineLevel="0" collapsed="false">
      <c r="A99" s="14" t="n">
        <v>46062</v>
      </c>
      <c r="B99" s="15" t="s">
        <v>170</v>
      </c>
      <c r="C99" s="15" t="s">
        <v>169</v>
      </c>
      <c r="D99" s="16" t="n">
        <v>1600</v>
      </c>
      <c r="E99" s="15" t="s">
        <v>22</v>
      </c>
      <c r="F99" s="15" t="s">
        <v>49</v>
      </c>
    </row>
    <row r="100" customFormat="false" ht="15" hidden="false" customHeight="false" outlineLevel="0" collapsed="false">
      <c r="A100" s="14" t="n">
        <v>46090</v>
      </c>
      <c r="B100" s="15" t="s">
        <v>171</v>
      </c>
      <c r="C100" s="15" t="s">
        <v>169</v>
      </c>
      <c r="D100" s="16" t="n">
        <v>1600</v>
      </c>
      <c r="E100" s="15" t="s">
        <v>22</v>
      </c>
      <c r="F100" s="15" t="s">
        <v>49</v>
      </c>
    </row>
    <row r="101" customFormat="false" ht="15" hidden="false" customHeight="false" outlineLevel="0" collapsed="false">
      <c r="C101" s="17" t="s">
        <v>172</v>
      </c>
      <c r="D101" s="18" t="n">
        <f aca="false">SUM(D2:D100)</f>
        <v>142609.39</v>
      </c>
    </row>
  </sheetData>
  <autoFilter ref="A1:F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2026-10-14T13:12:09Z</dcterms:created>
  <dc:creator>openpyxl</dc:creator>
  <dc:description/>
  <dc:language>en-US</dc:language>
  <cp:lastModifiedBy/>
  <dcterms:modified xsi:type="dcterms:W3CDTF">2026-10-14T13:12:09Z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